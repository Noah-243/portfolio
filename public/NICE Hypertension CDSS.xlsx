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1b8ecc419a4d495/שולחן העבודה/תיק עבודות/"/>
    </mc:Choice>
  </mc:AlternateContent>
  <xr:revisionPtr revIDLastSave="15" documentId="13_ncr:1_{24C8C4B5-9950-4FE3-99A2-FC20CB6EAE9B}" xr6:coauthVersionLast="47" xr6:coauthVersionMax="47" xr10:uidLastSave="{560F7984-86AD-4456-96D2-A583C999DEF7}"/>
  <bookViews>
    <workbookView xWindow="-110" yWindow="-110" windowWidth="19420" windowHeight="10300" xr2:uid="{00000000-000D-0000-FFFF-FFFF00000000}"/>
  </bookViews>
  <sheets>
    <sheet name="NICE_Hypertension_DSS_Quest " sheetId="15" r:id="rId1"/>
    <sheet name="CDSS_Step_Table" sheetId="4" r:id="rId2"/>
    <sheet name="Mapping_Table" sheetId="10" r:id="rId3"/>
    <sheet name="User Guide – NICE Hypertension " sheetId="16" r:id="rId4"/>
  </sheets>
  <definedNames>
    <definedName name="CDSS_Step_Table">CDSS_Step_Table!$A$2:$F$39</definedName>
    <definedName name="CDSSTable">CDSS_Step_Table!$A$2:$F$39</definedName>
    <definedName name="Mapping_Table">Mapping_Table!$C$2:$D$39</definedName>
    <definedName name="MappingTable">Mapping_Table!$C$2:$D$39</definedName>
    <definedName name="NICE_Hypertension_DSS_Question" localSheetId="0">'NICE_Hypertension_DSS_Quest '!$A$2:$F$30</definedName>
    <definedName name="NICE_Hypertension_DSS_Ques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5" l="1"/>
  <c r="F21" i="15"/>
  <c r="A5" i="10" l="1"/>
  <c r="F6" i="15" s="1"/>
  <c r="A7" i="10"/>
  <c r="A11" i="10"/>
  <c r="A3" i="10"/>
  <c r="A4" i="10"/>
  <c r="A8" i="10"/>
  <c r="A9" i="10"/>
  <c r="A10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F3" i="15" l="1"/>
  <c r="F7" i="15"/>
  <c r="F20" i="15"/>
  <c r="F14" i="15"/>
  <c r="F16" i="15"/>
  <c r="F11" i="15"/>
  <c r="F8" i="15"/>
  <c r="F13" i="15"/>
  <c r="F28" i="15"/>
  <c r="F30" i="15"/>
  <c r="F12" i="15"/>
  <c r="F9" i="15"/>
  <c r="A6" i="10"/>
</calcChain>
</file>

<file path=xl/sharedStrings.xml><?xml version="1.0" encoding="utf-8"?>
<sst xmlns="http://schemas.openxmlformats.org/spreadsheetml/2006/main" count="406" uniqueCount="253">
  <si>
    <t>Parameter</t>
  </si>
  <si>
    <t>Clinic BP</t>
  </si>
  <si>
    <t>Diabetes</t>
  </si>
  <si>
    <t>CKD</t>
  </si>
  <si>
    <t>Frailty</t>
  </si>
  <si>
    <t>&lt;140/90</t>
  </si>
  <si>
    <t>Yes</t>
  </si>
  <si>
    <t>&lt;135/85</t>
  </si>
  <si>
    <t>&lt;55</t>
  </si>
  <si>
    <t>140–179/90–119</t>
  </si>
  <si>
    <t>No</t>
  </si>
  <si>
    <t>≥135/85</t>
  </si>
  <si>
    <t>≥180/120</t>
  </si>
  <si>
    <t>Does the patient have chronic kidney disease (CKD) ?</t>
  </si>
  <si>
    <t>Code / Value</t>
  </si>
  <si>
    <t>Description</t>
  </si>
  <si>
    <t>Clinical Notes</t>
  </si>
  <si>
    <t>B1</t>
  </si>
  <si>
    <t>B2</t>
  </si>
  <si>
    <t>B3</t>
  </si>
  <si>
    <t>M0</t>
  </si>
  <si>
    <t>M1</t>
  </si>
  <si>
    <t>Age Group</t>
  </si>
  <si>
    <t>C1</t>
  </si>
  <si>
    <t>M2</t>
  </si>
  <si>
    <t>M3</t>
  </si>
  <si>
    <t>C2</t>
  </si>
  <si>
    <t>T1</t>
  </si>
  <si>
    <t>Monotherapy</t>
  </si>
  <si>
    <t>T2</t>
  </si>
  <si>
    <t>T3</t>
  </si>
  <si>
    <t>T4</t>
  </si>
  <si>
    <t>K1</t>
  </si>
  <si>
    <t>K2</t>
  </si>
  <si>
    <t>Referral Criteria</t>
  </si>
  <si>
    <t>S0</t>
  </si>
  <si>
    <t>No referral</t>
  </si>
  <si>
    <t>Manage in primary care</t>
  </si>
  <si>
    <t>S1</t>
  </si>
  <si>
    <t>Emergency referral</t>
  </si>
  <si>
    <r>
      <rPr>
        <b/>
        <i/>
        <sz val="11"/>
        <rFont val="Segoe UI"/>
        <family val="2"/>
      </rPr>
      <t>ABPM</t>
    </r>
    <r>
      <rPr>
        <i/>
        <sz val="11"/>
        <rFont val="Segoe UI"/>
        <family val="2"/>
      </rPr>
      <t xml:space="preserve"> = Ambulatory Blood Pressure Monitoring</t>
    </r>
  </si>
  <si>
    <r>
      <rPr>
        <b/>
        <i/>
        <sz val="11"/>
        <rFont val="Segoe UI"/>
        <family val="2"/>
      </rPr>
      <t>HBPM</t>
    </r>
    <r>
      <rPr>
        <i/>
        <sz val="11"/>
        <rFont val="Segoe UI"/>
        <family val="2"/>
      </rPr>
      <t xml:space="preserve"> = Home Blood Pressure Monitoring</t>
    </r>
  </si>
  <si>
    <r>
      <rPr>
        <b/>
        <i/>
        <sz val="11"/>
        <rFont val="Segoe UI"/>
        <family val="2"/>
      </rPr>
      <t>HTN</t>
    </r>
    <r>
      <rPr>
        <i/>
        <sz val="11"/>
        <rFont val="Segoe UI"/>
        <family val="2"/>
      </rPr>
      <t xml:space="preserve"> = Hypertension</t>
    </r>
  </si>
  <si>
    <r>
      <rPr>
        <b/>
        <i/>
        <sz val="11"/>
        <rFont val="Segoe UI"/>
        <family val="2"/>
      </rPr>
      <t>TOD</t>
    </r>
    <r>
      <rPr>
        <i/>
        <sz val="11"/>
        <rFont val="Segoe UI"/>
        <family val="2"/>
      </rPr>
      <t xml:space="preserve"> = Target Organ Damage</t>
    </r>
  </si>
  <si>
    <r>
      <rPr>
        <b/>
        <i/>
        <sz val="11"/>
        <rFont val="Segoe UI"/>
        <family val="2"/>
      </rPr>
      <t>CVD</t>
    </r>
    <r>
      <rPr>
        <i/>
        <sz val="11"/>
        <rFont val="Segoe UI"/>
        <family val="2"/>
      </rPr>
      <t xml:space="preserve"> = Cardiovascular Disease</t>
    </r>
  </si>
  <si>
    <r>
      <rPr>
        <b/>
        <i/>
        <sz val="11"/>
        <rFont val="Segoe UI"/>
        <family val="2"/>
      </rPr>
      <t>CKD</t>
    </r>
    <r>
      <rPr>
        <i/>
        <sz val="11"/>
        <rFont val="Segoe UI"/>
        <family val="2"/>
      </rPr>
      <t xml:space="preserve"> = Chronic Kidney Disease</t>
    </r>
  </si>
  <si>
    <r>
      <rPr>
        <b/>
        <i/>
        <sz val="11"/>
        <rFont val="Segoe UI"/>
        <family val="2"/>
      </rPr>
      <t>T2DM</t>
    </r>
    <r>
      <rPr>
        <i/>
        <sz val="11"/>
        <rFont val="Segoe UI"/>
        <family val="2"/>
      </rPr>
      <t xml:space="preserve"> = Type 2 Diabetes Mellitus</t>
    </r>
  </si>
  <si>
    <r>
      <rPr>
        <b/>
        <i/>
        <sz val="11"/>
        <rFont val="Segoe UI"/>
        <family val="2"/>
      </rPr>
      <t>CCB</t>
    </r>
    <r>
      <rPr>
        <i/>
        <sz val="11"/>
        <rFont val="Segoe UI"/>
        <family val="2"/>
      </rPr>
      <t xml:space="preserve"> = Calcium Channel Blocker</t>
    </r>
  </si>
  <si>
    <r>
      <rPr>
        <b/>
        <i/>
        <sz val="11"/>
        <rFont val="Segoe UI"/>
        <family val="2"/>
      </rPr>
      <t>ACEi</t>
    </r>
    <r>
      <rPr>
        <i/>
        <sz val="11"/>
        <rFont val="Segoe UI"/>
        <family val="2"/>
      </rPr>
      <t xml:space="preserve"> = Angiotensin-Converting Enzyme inhibitor</t>
    </r>
  </si>
  <si>
    <r>
      <rPr>
        <b/>
        <i/>
        <sz val="11"/>
        <rFont val="Segoe UI"/>
        <family val="2"/>
      </rPr>
      <t>ARB</t>
    </r>
    <r>
      <rPr>
        <i/>
        <sz val="11"/>
        <rFont val="Segoe UI"/>
        <family val="2"/>
      </rPr>
      <t xml:space="preserve"> = Angiotensin Receptor Blocker</t>
    </r>
  </si>
  <si>
    <t>Step</t>
  </si>
  <si>
    <t>B1: &lt;140/90</t>
  </si>
  <si>
    <t>Normal clinic BP</t>
  </si>
  <si>
    <t>No HTN diagnosis; repeat every 5 years (more if close to threshold)</t>
  </si>
  <si>
    <t>B2: 140–179/90–119</t>
  </si>
  <si>
    <t>Elevated clinic BP</t>
  </si>
  <si>
    <t>Proceed to ABPM/HBPM for confirmation</t>
  </si>
  <si>
    <t>B3: ≥180/120</t>
  </si>
  <si>
    <t>Severely elevated clinic BP</t>
  </si>
  <si>
    <t>Assess for symptoms/organ damage; may need urgent referral</t>
  </si>
  <si>
    <t>Postural Hypotension</t>
  </si>
  <si>
    <t>Significant drop after standing</t>
  </si>
  <si>
    <t>Review meds, manage, consider referral if persistent</t>
  </si>
  <si>
    <t>Device/Technique</t>
  </si>
  <si>
    <t>Proper device and technique</t>
  </si>
  <si>
    <t>Use correct cuff, quiet environment, seated, arm supported</t>
  </si>
  <si>
    <t>ABPM/HBPM Confirmation</t>
  </si>
  <si>
    <t>No out-of-clinic confirmation</t>
  </si>
  <si>
    <t>Diagnosis incomplete; must confirm with ABPM/HBPM</t>
  </si>
  <si>
    <t>Confirmed HTN by ABPM/HBPM</t>
  </si>
  <si>
    <t>Confirm diagnosis; proceed to risk assessment</t>
  </si>
  <si>
    <t>Not confirmed by ABPM/HBPM</t>
  </si>
  <si>
    <t>No HTN; repeat clinic BP in 5 years or sooner if close to threshold</t>
  </si>
  <si>
    <t>Cardiovascular Risk</t>
  </si>
  <si>
    <t>Low 10-year CVD risk</t>
  </si>
  <si>
    <t>May delay drug treatment in Stage 1 HTN</t>
  </si>
  <si>
    <t>High CVD risk or Target Organ Damage</t>
  </si>
  <si>
    <t>Indication for drug treatment even in Stage 1 HTN</t>
  </si>
  <si>
    <t>Target Organ Damage</t>
  </si>
  <si>
    <t>Evidence of organ damage</t>
  </si>
  <si>
    <t>Requires further investigation and may influence treatment decision</t>
  </si>
  <si>
    <t>T1: Lifestyle only</t>
  </si>
  <si>
    <t>Non-pharmacological management</t>
  </si>
  <si>
    <t>For low-risk, Stage 1 HTN</t>
  </si>
  <si>
    <t>T2: Monotherapy</t>
  </si>
  <si>
    <t>Start single antihypertensive</t>
  </si>
  <si>
    <t>Drug choice based on age/ethnicity/diabetes</t>
  </si>
  <si>
    <t>T3: Dual/Triple therapy</t>
  </si>
  <si>
    <t>Add second/third agent</t>
  </si>
  <si>
    <t>Escalate if BP target not achieved</t>
  </si>
  <si>
    <t>T4: Resistant HTN</t>
  </si>
  <si>
    <t>Consider 4th agent (spironolactone/alpha/beta blocker)</t>
  </si>
  <si>
    <t>Check potassium before spironolactone; seek specialist advice if needed</t>
  </si>
  <si>
    <t>ACEi/ARB preferred</t>
  </si>
  <si>
    <t>CCB preferred</t>
  </si>
  <si>
    <t>Potassium Level</t>
  </si>
  <si>
    <t>Safe for spironolactone</t>
  </si>
  <si>
    <t>For resistant HTN</t>
  </si>
  <si>
    <t>Use alpha/beta blocker</t>
  </si>
  <si>
    <t>BP1: &lt;140/90 (&lt;80 yrs)</t>
  </si>
  <si>
    <t>Clinic BP target for &lt;80 years</t>
  </si>
  <si>
    <t>ABPM/HBPM &lt;135/85</t>
  </si>
  <si>
    <t>BP2: &lt;150/90 (≥80 yrs)</t>
  </si>
  <si>
    <t>Clinic BP target for ≥80 years</t>
  </si>
  <si>
    <t>ABPM/HBPM &lt;145/85</t>
  </si>
  <si>
    <t>S0: No referral</t>
  </si>
  <si>
    <t>Routine management</t>
  </si>
  <si>
    <t>S1: Emergency referral</t>
  </si>
  <si>
    <t>Severe BP (≥180/120) + symptoms/organ damage</t>
  </si>
  <si>
    <t>Refer same day to specialist</t>
  </si>
  <si>
    <t>S2: Suspected secondary</t>
  </si>
  <si>
    <t>Features suggest secondary HTN</t>
  </si>
  <si>
    <t>Consider specialist referral</t>
  </si>
  <si>
    <t>What’s Covered in Your Table</t>
  </si>
  <si>
    <t>NICE Guidance Reference</t>
  </si>
  <si>
    <t>Clinic BP, Postural Hypotension, Device</t>
  </si>
  <si>
    <t>Initial assessment</t>
  </si>
  <si>
    <t>Confirm diagnosis</t>
  </si>
  <si>
    <t>Cardiovascular Risk, Target Organ Damage</t>
  </si>
  <si>
    <t>Assess risk/TOD</t>
  </si>
  <si>
    <t>Age Group, Treatment Initiation, Potassium, BP</t>
  </si>
  <si>
    <t>Decide and tailor treatment</t>
  </si>
  <si>
    <t>Urgent/specialist referral</t>
  </si>
  <si>
    <t>Summary Table Alignment</t>
  </si>
  <si>
    <t>`</t>
  </si>
  <si>
    <t>Question for DSS/User</t>
  </si>
  <si>
    <t>Possible Answers</t>
  </si>
  <si>
    <t>Yes / No</t>
  </si>
  <si>
    <t>ABPM/HBPM Result</t>
  </si>
  <si>
    <t>&lt;10%</t>
  </si>
  <si>
    <t>≥10%</t>
  </si>
  <si>
    <t>≥55</t>
  </si>
  <si>
    <t>Black ethnicity</t>
  </si>
  <si>
    <t>Any age with diabetes</t>
  </si>
  <si>
    <t>Current Treatment</t>
  </si>
  <si>
    <t>Lifestyle only</t>
  </si>
  <si>
    <t>Dual/Triple therapy</t>
  </si>
  <si>
    <t>Resistant HTN</t>
  </si>
  <si>
    <t>BP Controlled</t>
  </si>
  <si>
    <t>&lt;140/90 (&lt;80 yrs)</t>
  </si>
  <si>
    <t>&lt;150/90 (≥80 yrs)</t>
  </si>
  <si>
    <t>≤4.5</t>
  </si>
  <si>
    <t>&gt;4.5</t>
  </si>
  <si>
    <t>Does the patient meet referral criteria? (severe BP ≥180/120 with symptoms/organ damage, or suspected secondary HTN)</t>
  </si>
  <si>
    <t>No referral
Emergency referral
Suspected secondary HTN</t>
  </si>
  <si>
    <t>User Answer</t>
  </si>
  <si>
    <t>Code</t>
  </si>
  <si>
    <t>PH1</t>
  </si>
  <si>
    <t>PH0</t>
  </si>
  <si>
    <t>D1</t>
  </si>
  <si>
    <t>D0</t>
  </si>
  <si>
    <t>T2DM</t>
  </si>
  <si>
    <t>NO_T2DM</t>
  </si>
  <si>
    <t>BP1</t>
  </si>
  <si>
    <t>BP2</t>
  </si>
  <si>
    <t>Suspected secondary HTN</t>
  </si>
  <si>
    <t>S2</t>
  </si>
  <si>
    <t>Mapping Table: User Answer → Code</t>
  </si>
  <si>
    <t>PH1: Yes</t>
  </si>
  <si>
    <t>PH0: No</t>
  </si>
  <si>
    <t>No significant postural drop</t>
  </si>
  <si>
    <t>No action needed</t>
  </si>
  <si>
    <t>D1: Yes</t>
  </si>
  <si>
    <t>D0: No</t>
  </si>
  <si>
    <t>Improper device/technique</t>
  </si>
  <si>
    <t>Repeat BP using validated device and correct technique</t>
  </si>
  <si>
    <t>M1: Yes</t>
  </si>
  <si>
    <t>ABPM/HBPM performed</t>
  </si>
  <si>
    <t>Proceed to ABPM/HBPM result</t>
  </si>
  <si>
    <t>M0: No</t>
  </si>
  <si>
    <t>M1: ≥135/85</t>
  </si>
  <si>
    <t>M2: &lt;135/85</t>
  </si>
  <si>
    <t>T2DM: Yes</t>
  </si>
  <si>
    <t>Diabetes present</t>
  </si>
  <si>
    <t>Consider as high-risk; guides drug choice and treatment threshold</t>
  </si>
  <si>
    <t>NO_T2DM: No</t>
  </si>
  <si>
    <t>No diabetes</t>
  </si>
  <si>
    <t>No diabetes-specific management</t>
  </si>
  <si>
    <t>CKD: Yes</t>
  </si>
  <si>
    <t>CKD present</t>
  </si>
  <si>
    <t>High-risk; may influence drug choice and monitoring</t>
  </si>
  <si>
    <t>NO_CKD: No</t>
  </si>
  <si>
    <t>No CKD</t>
  </si>
  <si>
    <t>No CKD-specific management</t>
  </si>
  <si>
    <t>TOD: Yes</t>
  </si>
  <si>
    <t>NO_TOD: No</t>
  </si>
  <si>
    <t>No evidence of organ damage</t>
  </si>
  <si>
    <t>Continue standard assessment</t>
  </si>
  <si>
    <t>C1: &lt;10%</t>
  </si>
  <si>
    <t>C2: ≥10%</t>
  </si>
  <si>
    <t>A1: &lt;55</t>
  </si>
  <si>
    <t>Step 1 drug for younger adults</t>
  </si>
  <si>
    <t>A2: ≥55</t>
  </si>
  <si>
    <t>Step 1 drug for older adults</t>
  </si>
  <si>
    <t>A2: Black ethnicity</t>
  </si>
  <si>
    <t>Step 1 drug for Black ethnicity</t>
  </si>
  <si>
    <t>A1: Any age with diabetes</t>
  </si>
  <si>
    <t>Step 1 drug for diabetes</t>
  </si>
  <si>
    <t>A3: Yes</t>
  </si>
  <si>
    <t>Frail or over 80 years</t>
  </si>
  <si>
    <t>Consider less aggressive targets; individualize care</t>
  </si>
  <si>
    <t>A0: No</t>
  </si>
  <si>
    <t>Not frail/under 80</t>
  </si>
  <si>
    <t>Standard targets apply</t>
  </si>
  <si>
    <t>NO_TARGET: No</t>
  </si>
  <si>
    <t>BP not at target</t>
  </si>
  <si>
    <t>Escalate treatment as per NICE steps</t>
  </si>
  <si>
    <t>K1: ≤4.5</t>
  </si>
  <si>
    <t>K2: &gt;4.5</t>
  </si>
  <si>
    <t>yes</t>
  </si>
  <si>
    <t>no</t>
  </si>
  <si>
    <t>Patient Data/Metrics Input</t>
  </si>
  <si>
    <t>What is the current antihypertensive treatment stage ?</t>
  </si>
  <si>
    <t>Is the patient’s BP at target for their age ?</t>
  </si>
  <si>
    <t>Is the patient frail or over 80 years old ?</t>
  </si>
  <si>
    <t>What is the patient’s age group ?</t>
  </si>
  <si>
    <t>What is the patient’s 10-year CVD risk (QRISK score) ?</t>
  </si>
  <si>
    <t>What is the average ABPM/HBPM result (mmHg) ?</t>
  </si>
  <si>
    <t>Does the patient have type 2 diabetes ?</t>
  </si>
  <si>
    <t>What is the patient’s clinic blood pressure (mmHg) ?</t>
  </si>
  <si>
    <t>Was ambulatory (ABPM) or home (HBPM) BP monitoring performed to confirm diagnosis ?</t>
  </si>
  <si>
    <t>What is the patient’s most recent potassium (K+) level (mmol/L) ?</t>
  </si>
  <si>
    <t>Is there evidence of target organ damage (e.g., CKD, LVH, retinopathy, proteinuria) ?</t>
  </si>
  <si>
    <t>Was BP measured using a validated, calibrated device and correct technique (seated, correct cuff, both arms) ?</t>
  </si>
  <si>
    <t>Does the patient have symptoms of postural hypotension (falls, dizziness) ?</t>
  </si>
  <si>
    <t>CDSS Answer</t>
  </si>
  <si>
    <t>CKD_Y</t>
  </si>
  <si>
    <t>CKD_N</t>
  </si>
  <si>
    <t>TOD_Y</t>
  </si>
  <si>
    <t>TOD_N</t>
  </si>
  <si>
    <t>AG1</t>
  </si>
  <si>
    <t>AG2</t>
  </si>
  <si>
    <t>AG3</t>
  </si>
  <si>
    <t>AG4</t>
  </si>
  <si>
    <t>FR_Y</t>
  </si>
  <si>
    <t>FR_N</t>
  </si>
  <si>
    <t>BP_NT</t>
  </si>
  <si>
    <t>Lookup Key</t>
  </si>
  <si>
    <t>NICE Hypertension DSS Questions Table</t>
  </si>
  <si>
    <t>User Guide – NICE Hypertension DSS System
Clinical Decision Support for Hypertension Management</t>
  </si>
  <si>
    <t>1. In the column “Patient Data/Metrics Input,”</t>
  </si>
  <si>
    <t>2. After you enter a value,</t>
  </si>
  <si>
    <t>3. Each recommendation is color-coded to reflect its clinical significance.</t>
  </si>
  <si>
    <t xml:space="preserve">    enter one of the predefined answers listed in the Possible Answers column on the left.</t>
  </si>
  <si>
    <t xml:space="preserve">    a clinical recommendation will automatically appear in the “CDSS Answer” column.</t>
  </si>
  <si>
    <t>No clinical concern – No action needed</t>
  </si>
  <si>
    <t>Attention required – Monitor or follow up</t>
  </si>
  <si>
    <r>
      <rPr>
        <b/>
        <sz val="14"/>
        <rFont val="Segoe UI"/>
        <family val="2"/>
      </rPr>
      <t xml:space="preserve">Abbreviations </t>
    </r>
    <r>
      <rPr>
        <b/>
        <i/>
        <sz val="14"/>
        <rFont val="Segoe UI"/>
        <family val="2"/>
      </rPr>
      <t>-</t>
    </r>
  </si>
  <si>
    <t>How to Use the Table -</t>
  </si>
  <si>
    <t>Clinical Meaning -</t>
  </si>
  <si>
    <t xml:space="preserve">Abbreviations </t>
  </si>
  <si>
    <t xml:space="preserve">Urgent clinical concern – Immediate action needed   </t>
  </si>
  <si>
    <t>CDSS Steps Table (Target Rules)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</si>
</sst>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8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theme="1"/>
      <name val="Segoe UI"/>
      <family val="2"/>
    </font>
    <font>
      <i/>
      <sz val="11"/>
      <name val="Segoe UI"/>
      <family val="2"/>
    </font>
    <font>
      <sz val="11"/>
      <name val="Arial"/>
      <family val="2"/>
      <scheme val="minor"/>
    </font>
    <font>
      <i/>
      <sz val="11"/>
      <name val="Segoe UI"/>
      <family val="2"/>
    </font>
    <font>
      <b/>
      <i/>
      <sz val="11"/>
      <name val="Segoe UI"/>
      <family val="2"/>
    </font>
    <font>
      <b/>
      <i/>
      <sz val="14"/>
      <color theme="1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i/>
      <sz val="16"/>
      <name val="Arial"/>
      <family val="2"/>
      <scheme val="minor"/>
    </font>
    <font>
      <b/>
      <sz val="14"/>
      <name val="Arial"/>
      <family val="2"/>
      <scheme val="minor"/>
    </font>
    <font>
      <b/>
      <sz val="12"/>
      <name val="Arial"/>
      <family val="2"/>
      <scheme val="minor"/>
    </font>
    <font>
      <b/>
      <sz val="16"/>
      <name val="Arial"/>
      <family val="2"/>
      <scheme val="minor"/>
    </font>
    <font>
      <b/>
      <sz val="2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i/>
      <sz val="14"/>
      <name val="Segoe UI"/>
      <family val="2"/>
    </font>
    <font>
      <b/>
      <sz val="14"/>
      <name val="Segoe UI"/>
      <family val="2"/>
    </font>
    <font>
      <b/>
      <i/>
      <u/>
      <sz val="11"/>
      <color theme="0"/>
      <name val="Segoe UI"/>
      <family val="2"/>
    </font>
    <font>
      <b/>
      <sz val="14"/>
      <color theme="0"/>
      <name val="Segoe UI"/>
      <family val="2"/>
    </font>
    <font>
      <b/>
      <sz val="16"/>
      <color theme="1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theme="4"/>
      </patternFill>
    </fill>
    <fill>
      <patternFill patternType="solid">
        <fgColor theme="0" tint="-0.249977111117893"/>
        <bgColor theme="4" tint="0.59999389629810485"/>
      </patternFill>
    </fill>
    <fill>
      <patternFill patternType="solid">
        <fgColor theme="0" tint="-0.249977111117893"/>
        <bgColor theme="4" tint="0.79998168889431442"/>
      </patternFill>
    </fill>
    <fill>
      <patternFill patternType="solid">
        <fgColor theme="0" tint="-0.14999847407452621"/>
        <bgColor theme="4" tint="0.59999389629810485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2" tint="-9.9978637043366805E-2"/>
        <bgColor theme="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0" tint="-0.34998626667073579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4.9989318521683403E-2"/>
        <bgColor theme="4" tint="0.59999389629810485"/>
      </patternFill>
    </fill>
    <fill>
      <patternFill patternType="solid">
        <fgColor theme="0" tint="-0.34998626667073579"/>
        <bgColor theme="4" tint="0.79998168889431442"/>
      </patternFill>
    </fill>
    <fill>
      <patternFill patternType="solid">
        <fgColor rgb="FF2A4D69"/>
        <bgColor theme="4"/>
      </patternFill>
    </fill>
    <fill>
      <patternFill patternType="solid">
        <fgColor rgb="FFC9D4C3"/>
        <bgColor indexed="64"/>
      </patternFill>
    </fill>
    <fill>
      <patternFill patternType="solid">
        <fgColor rgb="FFE6D6B8"/>
        <bgColor indexed="64"/>
      </patternFill>
    </fill>
    <fill>
      <patternFill patternType="solid">
        <fgColor rgb="FF2A4D69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theme="0" tint="-0.499984740745262"/>
        <bgColor theme="4" tint="0.59999389629810485"/>
      </patternFill>
    </fill>
    <fill>
      <patternFill patternType="solid">
        <fgColor theme="0" tint="-0.49998474074526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6">
    <xf numFmtId="0" fontId="0" fillId="0" borderId="0" xfId="0"/>
    <xf numFmtId="0" fontId="0" fillId="0" borderId="0" xfId="0" applyAlignment="1">
      <alignment horizontal="center"/>
    </xf>
    <xf numFmtId="0" fontId="7" fillId="4" borderId="0" xfId="0" applyFont="1" applyFill="1"/>
    <xf numFmtId="0" fontId="0" fillId="0" borderId="7" xfId="0" applyBorder="1"/>
    <xf numFmtId="0" fontId="13" fillId="11" borderId="1" xfId="0" applyFont="1" applyFill="1" applyBorder="1" applyAlignment="1">
      <alignment horizontal="center" vertical="top" wrapText="1"/>
    </xf>
    <xf numFmtId="0" fontId="1" fillId="12" borderId="3" xfId="0" applyFont="1" applyFill="1" applyBorder="1" applyAlignment="1">
      <alignment horizontal="center" vertical="center" wrapText="1"/>
    </xf>
    <xf numFmtId="0" fontId="1" fillId="12" borderId="8" xfId="0" applyFont="1" applyFill="1" applyBorder="1" applyAlignment="1">
      <alignment horizontal="center" vertical="center" wrapText="1"/>
    </xf>
    <xf numFmtId="0" fontId="1" fillId="12" borderId="9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1" fillId="14" borderId="8" xfId="0" applyFont="1" applyFill="1" applyBorder="1" applyAlignment="1">
      <alignment horizontal="center" vertical="center" wrapText="1"/>
    </xf>
    <xf numFmtId="0" fontId="1" fillId="14" borderId="9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5" borderId="1" xfId="0" applyFill="1" applyBorder="1" applyAlignment="1">
      <alignment vertical="center" wrapText="1"/>
    </xf>
    <xf numFmtId="0" fontId="0" fillId="16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15" borderId="9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2" fillId="8" borderId="8" xfId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12" borderId="9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16" borderId="3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vertical="center" wrapText="1"/>
    </xf>
    <xf numFmtId="0" fontId="0" fillId="16" borderId="2" xfId="0" applyFill="1" applyBorder="1" applyAlignment="1">
      <alignment vertical="center" wrapText="1"/>
    </xf>
    <xf numFmtId="0" fontId="0" fillId="10" borderId="2" xfId="0" applyFill="1" applyBorder="1" applyAlignment="1">
      <alignment vertical="center" wrapText="1"/>
    </xf>
    <xf numFmtId="0" fontId="0" fillId="15" borderId="0" xfId="0" applyFill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top" wrapText="1"/>
    </xf>
    <xf numFmtId="0" fontId="0" fillId="19" borderId="0" xfId="0" applyFill="1"/>
    <xf numFmtId="0" fontId="0" fillId="20" borderId="0" xfId="0" applyFill="1"/>
    <xf numFmtId="0" fontId="0" fillId="2" borderId="0" xfId="0" applyFill="1"/>
    <xf numFmtId="0" fontId="14" fillId="6" borderId="1" xfId="0" applyFont="1" applyFill="1" applyBorder="1" applyAlignment="1">
      <alignment horizontal="center" vertical="top" wrapText="1"/>
    </xf>
    <xf numFmtId="0" fontId="18" fillId="0" borderId="0" xfId="0" applyFont="1"/>
    <xf numFmtId="0" fontId="19" fillId="0" borderId="0" xfId="0" applyFont="1"/>
    <xf numFmtId="0" fontId="0" fillId="3" borderId="0" xfId="0" applyFill="1"/>
    <xf numFmtId="0" fontId="8" fillId="3" borderId="0" xfId="0" applyFont="1" applyFill="1" applyAlignment="1">
      <alignment horizontal="left" vertical="center" indent="1"/>
    </xf>
    <xf numFmtId="0" fontId="0" fillId="3" borderId="0" xfId="0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0" xfId="0" applyFont="1" applyFill="1"/>
    <xf numFmtId="0" fontId="18" fillId="3" borderId="0" xfId="0" applyFont="1" applyFill="1"/>
    <xf numFmtId="0" fontId="7" fillId="2" borderId="0" xfId="0" applyFont="1" applyFill="1"/>
    <xf numFmtId="0" fontId="0" fillId="2" borderId="0" xfId="0" applyFill="1" applyAlignment="1">
      <alignment vertical="center"/>
    </xf>
    <xf numFmtId="0" fontId="18" fillId="2" borderId="0" xfId="0" applyFont="1" applyFill="1"/>
    <xf numFmtId="0" fontId="19" fillId="2" borderId="0" xfId="0" applyFont="1" applyFill="1"/>
    <xf numFmtId="0" fontId="19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0" fillId="4" borderId="0" xfId="0" applyFill="1"/>
    <xf numFmtId="0" fontId="18" fillId="4" borderId="0" xfId="0" applyFont="1" applyFill="1"/>
    <xf numFmtId="0" fontId="1" fillId="4" borderId="0" xfId="0" applyFont="1" applyFill="1"/>
    <xf numFmtId="0" fontId="0" fillId="22" borderId="0" xfId="0" applyFill="1"/>
    <xf numFmtId="0" fontId="21" fillId="3" borderId="0" xfId="0" applyFont="1" applyFill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5" fillId="16" borderId="0" xfId="0" applyFont="1" applyFill="1" applyAlignment="1">
      <alignment vertical="center" wrapText="1"/>
    </xf>
    <xf numFmtId="0" fontId="5" fillId="13" borderId="1" xfId="0" applyFont="1" applyFill="1" applyBorder="1" applyAlignment="1">
      <alignment vertical="center" wrapText="1"/>
    </xf>
    <xf numFmtId="0" fontId="5" fillId="13" borderId="3" xfId="0" applyFont="1" applyFill="1" applyBorder="1" applyAlignment="1">
      <alignment vertical="center" wrapText="1"/>
    </xf>
    <xf numFmtId="0" fontId="5" fillId="16" borderId="1" xfId="0" applyFont="1" applyFill="1" applyBorder="1" applyAlignment="1">
      <alignment vertical="center" wrapText="1"/>
    </xf>
    <xf numFmtId="0" fontId="5" fillId="16" borderId="3" xfId="0" applyFont="1" applyFill="1" applyBorder="1" applyAlignment="1">
      <alignment vertical="center" wrapText="1"/>
    </xf>
    <xf numFmtId="0" fontId="5" fillId="9" borderId="0" xfId="0" applyFont="1" applyFill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5" fillId="14" borderId="0" xfId="0" applyFont="1" applyFill="1" applyAlignment="1">
      <alignment vertical="center" wrapText="1"/>
    </xf>
    <xf numFmtId="0" fontId="5" fillId="17" borderId="1" xfId="0" applyFont="1" applyFill="1" applyBorder="1" applyAlignment="1">
      <alignment vertical="center" wrapText="1"/>
    </xf>
    <xf numFmtId="0" fontId="5" fillId="14" borderId="1" xfId="0" applyFont="1" applyFill="1" applyBorder="1" applyAlignment="1">
      <alignment vertical="center" wrapText="1"/>
    </xf>
    <xf numFmtId="0" fontId="5" fillId="23" borderId="0" xfId="0" applyFont="1" applyFill="1" applyAlignment="1">
      <alignment vertical="center" wrapText="1"/>
    </xf>
    <xf numFmtId="0" fontId="5" fillId="23" borderId="1" xfId="0" applyFont="1" applyFill="1" applyBorder="1" applyAlignment="1">
      <alignment vertical="center" wrapText="1"/>
    </xf>
    <xf numFmtId="0" fontId="5" fillId="24" borderId="1" xfId="0" applyFont="1" applyFill="1" applyBorder="1" applyAlignment="1">
      <alignment vertical="center" wrapText="1"/>
    </xf>
    <xf numFmtId="0" fontId="25" fillId="11" borderId="0" xfId="0" applyFont="1" applyFill="1" applyAlignment="1">
      <alignment horizontal="center" vertical="top" wrapText="1"/>
    </xf>
    <xf numFmtId="0" fontId="25" fillId="11" borderId="1" xfId="0" applyFont="1" applyFill="1" applyBorder="1" applyAlignment="1">
      <alignment horizontal="center" vertical="top" wrapText="1"/>
    </xf>
    <xf numFmtId="0" fontId="17" fillId="3" borderId="0" xfId="0" applyFont="1" applyFill="1" applyAlignment="1">
      <alignment horizontal="left" wrapText="1"/>
    </xf>
    <xf numFmtId="0" fontId="20" fillId="2" borderId="0" xfId="0" applyFont="1" applyFill="1" applyAlignment="1">
      <alignment horizontal="left"/>
    </xf>
    <xf numFmtId="0" fontId="20" fillId="2" borderId="0" xfId="0" applyFont="1" applyFill="1" applyAlignment="1">
      <alignment horizontal="left" vertical="center"/>
    </xf>
    <xf numFmtId="0" fontId="24" fillId="21" borderId="0" xfId="0" applyFont="1" applyFill="1" applyAlignment="1">
      <alignment horizontal="center" vertical="center"/>
    </xf>
    <xf numFmtId="0" fontId="23" fillId="21" borderId="0" xfId="0" applyFont="1" applyFill="1" applyAlignment="1">
      <alignment horizontal="center" vertical="center"/>
    </xf>
    <xf numFmtId="0" fontId="0" fillId="16" borderId="3" xfId="0" applyFill="1" applyBorder="1" applyAlignment="1">
      <alignment horizontal="center" vertical="center" wrapText="1"/>
    </xf>
    <xf numFmtId="0" fontId="0" fillId="16" borderId="9" xfId="0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" fillId="12" borderId="3" xfId="0" applyFont="1" applyFill="1" applyBorder="1" applyAlignment="1">
      <alignment horizontal="center" vertical="center" wrapText="1"/>
    </xf>
    <xf numFmtId="0" fontId="1" fillId="12" borderId="8" xfId="0" applyFont="1" applyFill="1" applyBorder="1" applyAlignment="1">
      <alignment horizontal="center" vertical="center" wrapText="1"/>
    </xf>
    <xf numFmtId="0" fontId="1" fillId="12" borderId="9" xfId="0" applyFon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left" vertical="center" wrapText="1"/>
    </xf>
    <xf numFmtId="0" fontId="0" fillId="12" borderId="8" xfId="0" applyFill="1" applyBorder="1" applyAlignment="1">
      <alignment horizontal="left" vertical="center" wrapText="1"/>
    </xf>
    <xf numFmtId="0" fontId="0" fillId="12" borderId="9" xfId="0" applyFill="1" applyBorder="1" applyAlignment="1">
      <alignment horizontal="left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0" fillId="12" borderId="9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left" vertical="center" wrapText="1"/>
    </xf>
    <xf numFmtId="0" fontId="0" fillId="7" borderId="8" xfId="0" applyFill="1" applyBorder="1" applyAlignment="1">
      <alignment horizontal="left" vertical="center" wrapText="1"/>
    </xf>
    <xf numFmtId="0" fontId="0" fillId="7" borderId="9" xfId="0" applyFill="1" applyBorder="1" applyAlignment="1">
      <alignment horizontal="left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3" borderId="8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horizontal="center" vertical="center" wrapText="1"/>
    </xf>
    <xf numFmtId="0" fontId="1" fillId="16" borderId="9" xfId="0" applyFont="1" applyFill="1" applyBorder="1" applyAlignment="1">
      <alignment horizontal="center" vertical="center" wrapText="1"/>
    </xf>
    <xf numFmtId="0" fontId="0" fillId="16" borderId="3" xfId="0" applyFill="1" applyBorder="1" applyAlignment="1">
      <alignment horizontal="left" vertical="center" wrapText="1"/>
    </xf>
    <xf numFmtId="0" fontId="0" fillId="16" borderId="9" xfId="0" applyFill="1" applyBorder="1" applyAlignment="1">
      <alignment horizontal="left" vertical="center" wrapText="1"/>
    </xf>
    <xf numFmtId="0" fontId="0" fillId="16" borderId="0" xfId="0" applyFill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left" vertical="center" wrapText="1"/>
    </xf>
    <xf numFmtId="0" fontId="0" fillId="10" borderId="9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1" fillId="17" borderId="3" xfId="0" applyFont="1" applyFill="1" applyBorder="1" applyAlignment="1">
      <alignment horizontal="center" vertical="center" wrapText="1"/>
    </xf>
    <xf numFmtId="0" fontId="1" fillId="17" borderId="9" xfId="0" applyFont="1" applyFill="1" applyBorder="1" applyAlignment="1">
      <alignment horizontal="center" vertical="center" wrapText="1"/>
    </xf>
    <xf numFmtId="0" fontId="1" fillId="17" borderId="8" xfId="0" applyFont="1" applyFill="1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0" fontId="0" fillId="17" borderId="9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left" vertical="center" wrapText="1"/>
    </xf>
    <xf numFmtId="0" fontId="0" fillId="13" borderId="6" xfId="0" applyFill="1" applyBorder="1" applyAlignment="1">
      <alignment horizontal="left" vertical="center" wrapText="1"/>
    </xf>
    <xf numFmtId="0" fontId="0" fillId="13" borderId="5" xfId="0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16" borderId="8" xfId="0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left" vertical="center" wrapText="1"/>
    </xf>
    <xf numFmtId="0" fontId="0" fillId="8" borderId="9" xfId="0" applyFill="1" applyBorder="1" applyAlignment="1">
      <alignment horizontal="left" vertical="center" wrapText="1"/>
    </xf>
    <xf numFmtId="0" fontId="0" fillId="13" borderId="3" xfId="0" applyFill="1" applyBorder="1" applyAlignment="1">
      <alignment horizontal="center" vertical="center" wrapText="1"/>
    </xf>
    <xf numFmtId="0" fontId="0" fillId="13" borderId="9" xfId="0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left" vertical="center" wrapText="1"/>
    </xf>
    <xf numFmtId="0" fontId="0" fillId="13" borderId="8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8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10" borderId="3" xfId="0" applyFont="1" applyFill="1" applyBorder="1" applyAlignment="1">
      <alignment horizontal="center"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15" borderId="9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1" fillId="14" borderId="8" xfId="0" applyFont="1" applyFill="1" applyBorder="1" applyAlignment="1">
      <alignment horizontal="center" vertical="center" wrapText="1"/>
    </xf>
    <xf numFmtId="0" fontId="1" fillId="14" borderId="9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2">
    <cellStyle name="Normal" xfId="0" builtinId="0"/>
    <cellStyle name="היפר-קישור" xfId="1" builtinId="8"/>
  </cellStyles>
  <dxfs count="36">
    <dxf>
      <font>
        <b val="0"/>
        <i val="0"/>
      </font>
      <fill>
        <patternFill>
          <bgColor rgb="FFD88C79"/>
        </patternFill>
      </fill>
    </dxf>
    <dxf>
      <fill>
        <patternFill>
          <bgColor rgb="FFE6D6B8"/>
        </patternFill>
      </fill>
    </dxf>
    <dxf>
      <fill>
        <patternFill>
          <bgColor rgb="FFC9D4C3"/>
        </patternFill>
      </fill>
    </dxf>
    <dxf>
      <fill>
        <patternFill>
          <bgColor rgb="FFE6D6B8"/>
        </patternFill>
      </fill>
    </dxf>
    <dxf>
      <fill>
        <patternFill>
          <bgColor rgb="FFC9D4C3"/>
        </patternFill>
      </fill>
    </dxf>
    <dxf>
      <fill>
        <patternFill>
          <bgColor rgb="FFD88C79"/>
        </patternFill>
      </fill>
    </dxf>
    <dxf>
      <fill>
        <patternFill>
          <bgColor rgb="FFC9D4C3"/>
        </patternFill>
      </fill>
    </dxf>
    <dxf>
      <fill>
        <patternFill>
          <bgColor rgb="FFD88C79"/>
        </patternFill>
      </fill>
    </dxf>
    <dxf>
      <fill>
        <patternFill>
          <bgColor rgb="FFD88C79"/>
        </patternFill>
      </fill>
    </dxf>
    <dxf>
      <fill>
        <patternFill>
          <bgColor rgb="FFE6D6B8"/>
        </patternFill>
      </fill>
    </dxf>
    <dxf>
      <fill>
        <patternFill>
          <bgColor rgb="FFC9D4C3"/>
        </patternFill>
      </fill>
    </dxf>
    <dxf>
      <fill>
        <patternFill>
          <bgColor rgb="FFE6D6B8"/>
        </patternFill>
      </fill>
    </dxf>
    <dxf>
      <fill>
        <patternFill>
          <bgColor rgb="FFC9D4C3"/>
        </patternFill>
      </fill>
    </dxf>
    <dxf>
      <fill>
        <patternFill>
          <bgColor rgb="FFC9D4C3"/>
        </patternFill>
      </fill>
    </dxf>
    <dxf>
      <fill>
        <patternFill>
          <bgColor rgb="FFD88C79"/>
        </patternFill>
      </fill>
    </dxf>
    <dxf>
      <fill>
        <patternFill>
          <bgColor rgb="FFE6D6B8"/>
        </patternFill>
      </fill>
    </dxf>
    <dxf>
      <fill>
        <patternFill>
          <bgColor rgb="FFC9D4C3"/>
        </patternFill>
      </fill>
    </dxf>
    <dxf>
      <fill>
        <patternFill>
          <bgColor rgb="FFC9D4C3"/>
        </patternFill>
      </fill>
    </dxf>
    <dxf>
      <fill>
        <patternFill>
          <bgColor rgb="FFD88C79"/>
        </patternFill>
      </fill>
    </dxf>
    <dxf>
      <fill>
        <patternFill>
          <bgColor rgb="FFC9D4C3"/>
        </patternFill>
      </fill>
    </dxf>
    <dxf>
      <fill>
        <patternFill>
          <bgColor rgb="FFD88C79"/>
        </patternFill>
      </fill>
    </dxf>
    <dxf>
      <fill>
        <patternFill>
          <bgColor rgb="FFC9D4C3"/>
        </patternFill>
      </fill>
    </dxf>
    <dxf>
      <font>
        <b val="0"/>
        <i val="0"/>
      </font>
      <fill>
        <patternFill>
          <bgColor rgb="FFD88C79"/>
        </patternFill>
      </fill>
    </dxf>
    <dxf>
      <fill>
        <patternFill>
          <bgColor rgb="FFC9D4C3"/>
        </patternFill>
      </fill>
    </dxf>
    <dxf>
      <fill>
        <patternFill>
          <bgColor rgb="FFE6D6B8"/>
        </patternFill>
      </fill>
    </dxf>
    <dxf>
      <fill>
        <patternFill>
          <bgColor rgb="FFC9D4C3"/>
        </patternFill>
      </fill>
    </dxf>
    <dxf>
      <fill>
        <patternFill>
          <bgColor rgb="FFE6D6B8"/>
        </patternFill>
      </fill>
    </dxf>
    <dxf>
      <fill>
        <patternFill>
          <bgColor rgb="FFD88C79"/>
        </patternFill>
      </fill>
    </dxf>
    <dxf>
      <fill>
        <patternFill>
          <bgColor rgb="FFE6D6B8"/>
        </patternFill>
      </fill>
    </dxf>
    <dxf>
      <fill>
        <patternFill>
          <bgColor rgb="FFC9D4C3"/>
        </patternFill>
      </fill>
    </dxf>
    <dxf>
      <fill>
        <patternFill>
          <bgColor rgb="FFE6D6B8"/>
        </patternFill>
      </fill>
    </dxf>
    <dxf>
      <fill>
        <patternFill>
          <bgColor rgb="FFE6D6B8"/>
        </patternFill>
      </fill>
    </dxf>
    <dxf>
      <fill>
        <patternFill>
          <bgColor rgb="FFC9D4C3"/>
        </patternFill>
      </fill>
    </dxf>
    <dxf>
      <fill>
        <patternFill>
          <bgColor rgb="FFC9D4C3"/>
        </patternFill>
      </fill>
    </dxf>
    <dxf>
      <fill>
        <patternFill>
          <bgColor rgb="FFE6D6B8"/>
        </patternFill>
      </fill>
    </dxf>
    <dxf>
      <font>
        <b val="0"/>
        <i val="0"/>
      </font>
      <fill>
        <patternFill>
          <bgColor rgb="FFD88C79"/>
        </patternFill>
      </fill>
    </dxf>
  </dxfs>
  <tableStyles count="0" defaultTableStyle="TableStyleMedium9" defaultPivotStyle="PivotStyleLight16"/>
  <colors>
    <mruColors>
      <color rgb="FF2A4D69"/>
      <color rgb="FFC0504D"/>
      <color rgb="FFE6D6B8"/>
      <color rgb="FFC9D4C3"/>
      <color rgb="FFD88C79"/>
      <color rgb="FFE06666"/>
      <color rgb="FFF4CCCC"/>
      <color rgb="FFF6D8AE"/>
      <color rgb="FFD9EAD3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98424</xdr:colOff>
      <xdr:row>17</xdr:row>
      <xdr:rowOff>15875</xdr:rowOff>
    </xdr:from>
    <xdr:to>
      <xdr:col>25</xdr:col>
      <xdr:colOff>542924</xdr:colOff>
      <xdr:row>18</xdr:row>
      <xdr:rowOff>8382</xdr:rowOff>
    </xdr:to>
    <xdr:sp macro="" textlink="">
      <xdr:nvSpPr>
        <xdr:cNvPr id="2" name="חץ: ימינה 1">
          <a:extLst>
            <a:ext uri="{FF2B5EF4-FFF2-40B4-BE49-F238E27FC236}">
              <a16:creationId xmlns:a16="http://schemas.microsoft.com/office/drawing/2014/main" id="{4472D79E-972B-A856-4781-C06CE50E4F88}"/>
            </a:ext>
          </a:extLst>
        </xdr:cNvPr>
        <xdr:cNvSpPr/>
      </xdr:nvSpPr>
      <xdr:spPr>
        <a:xfrm>
          <a:off x="10751258026" y="3597275"/>
          <a:ext cx="444500" cy="192532"/>
        </a:xfrm>
        <a:prstGeom prst="rightArrow">
          <a:avLst/>
        </a:prstGeom>
        <a:solidFill>
          <a:srgbClr val="C9D4C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/>
        </a:p>
      </xdr:txBody>
    </xdr:sp>
    <xdr:clientData/>
  </xdr:twoCellAnchor>
  <xdr:twoCellAnchor>
    <xdr:from>
      <xdr:col>25</xdr:col>
      <xdr:colOff>104775</xdr:colOff>
      <xdr:row>19</xdr:row>
      <xdr:rowOff>0</xdr:rowOff>
    </xdr:from>
    <xdr:to>
      <xdr:col>25</xdr:col>
      <xdr:colOff>552450</xdr:colOff>
      <xdr:row>20</xdr:row>
      <xdr:rowOff>2032</xdr:rowOff>
    </xdr:to>
    <xdr:sp macro="" textlink="">
      <xdr:nvSpPr>
        <xdr:cNvPr id="3" name="חץ: ימינה 2">
          <a:extLst>
            <a:ext uri="{FF2B5EF4-FFF2-40B4-BE49-F238E27FC236}">
              <a16:creationId xmlns:a16="http://schemas.microsoft.com/office/drawing/2014/main" id="{DFC1A12A-02FB-4FB8-B6E8-E3839EDC97F2}"/>
            </a:ext>
          </a:extLst>
        </xdr:cNvPr>
        <xdr:cNvSpPr/>
      </xdr:nvSpPr>
      <xdr:spPr>
        <a:xfrm>
          <a:off x="10751248500" y="3981450"/>
          <a:ext cx="447675" cy="183007"/>
        </a:xfrm>
        <a:prstGeom prst="rightArrow">
          <a:avLst/>
        </a:prstGeom>
        <a:solidFill>
          <a:srgbClr val="E6D6B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/>
        </a:p>
      </xdr:txBody>
    </xdr:sp>
    <xdr:clientData/>
  </xdr:twoCellAnchor>
  <xdr:twoCellAnchor>
    <xdr:from>
      <xdr:col>25</xdr:col>
      <xdr:colOff>85725</xdr:colOff>
      <xdr:row>21</xdr:row>
      <xdr:rowOff>0</xdr:rowOff>
    </xdr:from>
    <xdr:to>
      <xdr:col>25</xdr:col>
      <xdr:colOff>533400</xdr:colOff>
      <xdr:row>22</xdr:row>
      <xdr:rowOff>2032</xdr:rowOff>
    </xdr:to>
    <xdr:sp macro="" textlink="">
      <xdr:nvSpPr>
        <xdr:cNvPr id="4" name="חץ: ימינה 3">
          <a:extLst>
            <a:ext uri="{FF2B5EF4-FFF2-40B4-BE49-F238E27FC236}">
              <a16:creationId xmlns:a16="http://schemas.microsoft.com/office/drawing/2014/main" id="{3FA59062-D853-4A05-BD24-52D89487667A}"/>
            </a:ext>
          </a:extLst>
        </xdr:cNvPr>
        <xdr:cNvSpPr/>
      </xdr:nvSpPr>
      <xdr:spPr>
        <a:xfrm>
          <a:off x="10751267550" y="4343400"/>
          <a:ext cx="447675" cy="183007"/>
        </a:xfrm>
        <a:prstGeom prst="rightArrow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@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7B5D4-092E-40F5-8295-869C8F6E09CA}">
  <dimension ref="A1:L31"/>
  <sheetViews>
    <sheetView tabSelected="1" topLeftCell="C11" zoomScale="80" zoomScaleNormal="80" workbookViewId="0">
      <selection activeCell="E12" sqref="E12"/>
    </sheetView>
  </sheetViews>
  <sheetFormatPr defaultRowHeight="14" x14ac:dyDescent="0.3"/>
  <cols>
    <col min="1" max="1" width="9" customWidth="1"/>
    <col min="2" max="2" width="24.6640625" customWidth="1"/>
    <col min="3" max="3" width="55.1640625" customWidth="1"/>
    <col min="4" max="4" width="25.6640625" customWidth="1"/>
    <col min="5" max="5" width="35" customWidth="1"/>
    <col min="6" max="6" width="50.4140625" customWidth="1"/>
    <col min="8" max="8" width="14.4140625" customWidth="1"/>
    <col min="13" max="13" width="18.9140625" customWidth="1"/>
  </cols>
  <sheetData>
    <row r="1" spans="1:12" ht="32" customHeight="1" x14ac:dyDescent="0.6">
      <c r="A1" s="110" t="s">
        <v>238</v>
      </c>
      <c r="B1" s="111"/>
      <c r="C1" s="111"/>
      <c r="D1" s="111"/>
      <c r="E1" s="111"/>
      <c r="F1" s="111"/>
    </row>
    <row r="2" spans="1:12" ht="30" customHeight="1" x14ac:dyDescent="0.3">
      <c r="A2" s="56" t="s">
        <v>50</v>
      </c>
      <c r="B2" s="56" t="s">
        <v>0</v>
      </c>
      <c r="C2" s="56" t="s">
        <v>125</v>
      </c>
      <c r="D2" s="56" t="s">
        <v>126</v>
      </c>
      <c r="E2" s="56" t="s">
        <v>211</v>
      </c>
      <c r="F2" s="56" t="s">
        <v>225</v>
      </c>
      <c r="H2" s="106" t="s">
        <v>250</v>
      </c>
      <c r="I2" s="107"/>
      <c r="J2" s="107"/>
      <c r="K2" s="107"/>
      <c r="L2" s="107"/>
    </row>
    <row r="3" spans="1:12" ht="30" customHeight="1" x14ac:dyDescent="0.3">
      <c r="A3" s="112">
        <v>1</v>
      </c>
      <c r="B3" s="112" t="s">
        <v>1</v>
      </c>
      <c r="C3" s="115" t="s">
        <v>219</v>
      </c>
      <c r="D3" s="18" t="s">
        <v>5</v>
      </c>
      <c r="E3" s="118"/>
      <c r="F3" s="118" t="str">
        <f>IFERROR(
    VLOOKUP(
        VLOOKUP(E3 &amp; "_" &amp; B3, Mapping_Table!$A$3:$C$39, 3, FALSE),
        CDSS_Step_Table!$C$3:$F$39, 3, FALSE
    ) &amp; " - " &amp;
    VLOOKUP(
        VLOOKUP(E3 &amp; "_" &amp; B3, Mapping_Table!$A$3:$C$39, 3, FALSE),
        CDSS_Step_Table!$C$3:$F$39, 4, FALSE
    ),
    "No recommendation found"
)</f>
        <v>No recommendation found</v>
      </c>
      <c r="H3" s="64" t="s">
        <v>40</v>
      </c>
      <c r="I3" s="67"/>
      <c r="J3" s="63"/>
      <c r="K3" s="63"/>
      <c r="L3" s="63"/>
    </row>
    <row r="4" spans="1:12" ht="30" customHeight="1" x14ac:dyDescent="0.3">
      <c r="A4" s="113"/>
      <c r="B4" s="113"/>
      <c r="C4" s="116"/>
      <c r="D4" s="19" t="s">
        <v>9</v>
      </c>
      <c r="E4" s="119"/>
      <c r="F4" s="119"/>
      <c r="H4" s="64" t="s">
        <v>41</v>
      </c>
      <c r="I4" s="67"/>
      <c r="J4" s="63"/>
      <c r="K4" s="63"/>
      <c r="L4" s="63"/>
    </row>
    <row r="5" spans="1:12" ht="30" customHeight="1" x14ac:dyDescent="0.3">
      <c r="A5" s="113"/>
      <c r="B5" s="114"/>
      <c r="C5" s="117"/>
      <c r="D5" s="20" t="s">
        <v>12</v>
      </c>
      <c r="E5" s="120"/>
      <c r="F5" s="120"/>
      <c r="H5" s="64" t="s">
        <v>42</v>
      </c>
      <c r="I5" s="67"/>
      <c r="J5" s="63"/>
      <c r="K5" s="63"/>
      <c r="L5" s="63"/>
    </row>
    <row r="6" spans="1:12" ht="30" customHeight="1" x14ac:dyDescent="0.3">
      <c r="A6" s="113"/>
      <c r="B6" s="50" t="s">
        <v>60</v>
      </c>
      <c r="C6" s="34" t="s">
        <v>224</v>
      </c>
      <c r="D6" s="39" t="s">
        <v>127</v>
      </c>
      <c r="E6" s="46" t="s">
        <v>210</v>
      </c>
      <c r="F6" s="40" t="str">
        <f>IFERROR(
    VLOOKUP(
        VLOOKUP(E6 &amp; "_" &amp; B6, Mapping_Table!$A$3:$C$39, 3, FALSE),
        CDSS_Step_Table!$C$3:$F$39, 3, FALSE
    ) &amp; " - " &amp;
    VLOOKUP(
        VLOOKUP(E6 &amp; "_" &amp; B6, Mapping_Table!$A$3:$C$39, 3, FALSE),
        CDSS_Step_Table!$C$3:$F$39, 4, FALSE
    ),
    "No recommendation found"
)</f>
        <v>No significant postural drop - No action needed</v>
      </c>
      <c r="H6" s="64" t="s">
        <v>43</v>
      </c>
      <c r="I6" s="67"/>
      <c r="J6" s="63"/>
      <c r="K6" s="63"/>
      <c r="L6" s="63"/>
    </row>
    <row r="7" spans="1:12" ht="30" customHeight="1" x14ac:dyDescent="0.3">
      <c r="A7" s="114"/>
      <c r="B7" s="51" t="s">
        <v>63</v>
      </c>
      <c r="C7" s="35" t="s">
        <v>223</v>
      </c>
      <c r="D7" s="44" t="s">
        <v>127</v>
      </c>
      <c r="E7" s="43" t="s">
        <v>210</v>
      </c>
      <c r="F7" s="40" t="str">
        <f>IFERROR(
    VLOOKUP(
        VLOOKUP(E7 &amp; "_" &amp; B7, Mapping_Table!$A$3:$C$39, 3, FALSE),
        CDSS_Step_Table!$C$3:$F$39, 3, FALSE
    ) &amp; " - " &amp;
    VLOOKUP(
        VLOOKUP(E7 &amp; "_" &amp; B7, Mapping_Table!$A$3:$C$39, 3, FALSE),
        CDSS_Step_Table!$C$3:$F$39, 4, FALSE
    ),
    "No recommendation found"
)</f>
        <v>Improper device/technique - Repeat BP using validated device and correct technique</v>
      </c>
      <c r="H7" s="64" t="s">
        <v>44</v>
      </c>
      <c r="I7" s="67"/>
      <c r="J7" s="63"/>
      <c r="K7" s="63"/>
      <c r="L7" s="63"/>
    </row>
    <row r="8" spans="1:12" ht="30" customHeight="1" x14ac:dyDescent="0.3">
      <c r="A8" s="127">
        <v>2</v>
      </c>
      <c r="B8" s="49" t="s">
        <v>66</v>
      </c>
      <c r="C8" s="36" t="s">
        <v>220</v>
      </c>
      <c r="D8" s="52" t="s">
        <v>127</v>
      </c>
      <c r="E8" s="55" t="s">
        <v>209</v>
      </c>
      <c r="F8" s="40" t="str">
        <f>IFERROR(
    VLOOKUP(
        VLOOKUP(E8 &amp; "_" &amp; B8, Mapping_Table!$A$3:$C$39, 3, FALSE),
        CDSS_Step_Table!$C$3:$F$39, 3, FALSE
    ) &amp; " - " &amp;
    VLOOKUP(
        VLOOKUP(E8 &amp; "_" &amp; B8, Mapping_Table!$A$3:$C$39, 3, FALSE),
        CDSS_Step_Table!$C$3:$F$39, 4, FALSE
    ),
    "No recommendation found"
)</f>
        <v>ABPM/HBPM performed - Proceed to ABPM/HBPM result</v>
      </c>
      <c r="H8" s="64" t="s">
        <v>45</v>
      </c>
      <c r="I8" s="67"/>
      <c r="J8" s="63"/>
      <c r="K8" s="63"/>
      <c r="L8" s="63"/>
    </row>
    <row r="9" spans="1:12" ht="30" customHeight="1" x14ac:dyDescent="0.3">
      <c r="A9" s="128"/>
      <c r="B9" s="130" t="s">
        <v>128</v>
      </c>
      <c r="C9" s="132" t="s">
        <v>217</v>
      </c>
      <c r="D9" s="53" t="s">
        <v>11</v>
      </c>
      <c r="E9" s="134" t="s">
        <v>7</v>
      </c>
      <c r="F9" s="108" t="str">
        <f>IFERROR(
    VLOOKUP(
        VLOOKUP(E9 &amp; "_" &amp; B9, Mapping_Table!$A$3:$C$39, 3, FALSE),
        CDSS_Step_Table!$C$3:$F$39, 3, FALSE
    ) &amp; " - " &amp;
    VLOOKUP(
        VLOOKUP(E9 &amp; "_" &amp; B9, Mapping_Table!$A$3:$C$39, 3, FALSE),
        CDSS_Step_Table!$C$3:$F$39, 4, FALSE
    ),
    "No recommendation found"
)</f>
        <v>Not confirmed by ABPM/HBPM - No HTN; repeat clinic BP in 5 years or sooner if close to threshold</v>
      </c>
      <c r="H9" s="64" t="s">
        <v>46</v>
      </c>
      <c r="I9" s="67"/>
      <c r="J9" s="63"/>
      <c r="K9" s="63"/>
      <c r="L9" s="63"/>
    </row>
    <row r="10" spans="1:12" ht="30" customHeight="1" x14ac:dyDescent="0.3">
      <c r="A10" s="129"/>
      <c r="B10" s="131"/>
      <c r="C10" s="133"/>
      <c r="D10" s="54" t="s">
        <v>7</v>
      </c>
      <c r="E10" s="134"/>
      <c r="F10" s="109"/>
      <c r="H10" s="64" t="s">
        <v>47</v>
      </c>
      <c r="I10" s="67"/>
      <c r="J10" s="63"/>
      <c r="K10" s="63"/>
      <c r="L10" s="63"/>
    </row>
    <row r="11" spans="1:12" ht="30" customHeight="1" x14ac:dyDescent="0.3">
      <c r="A11" s="135">
        <v>3</v>
      </c>
      <c r="B11" s="32" t="s">
        <v>2</v>
      </c>
      <c r="C11" s="37" t="s">
        <v>218</v>
      </c>
      <c r="D11" s="18" t="s">
        <v>127</v>
      </c>
      <c r="E11" s="33" t="s">
        <v>210</v>
      </c>
      <c r="F11" s="42" t="str">
        <f>IFERROR(
    VLOOKUP(
        VLOOKUP(E11 &amp; "_" &amp; B11, Mapping_Table!$A$3:$C$39, 3, FALSE),
        CDSS_Step_Table!$C$3:$F$39, 3, FALSE
    ) &amp; " - " &amp;
    VLOOKUP(
        VLOOKUP(E11 &amp; "_" &amp; B11, Mapping_Table!$A$3:$C$39, 3, FALSE),
        CDSS_Step_Table!$C$3:$F$39, 4, FALSE
    ),
    "No recommendation found"
)</f>
        <v>No diabetes - No diabetes-specific management</v>
      </c>
      <c r="H11" s="64" t="s">
        <v>48</v>
      </c>
      <c r="I11" s="67"/>
      <c r="J11" s="63"/>
      <c r="K11" s="63"/>
      <c r="L11" s="63"/>
    </row>
    <row r="12" spans="1:12" ht="30" customHeight="1" x14ac:dyDescent="0.3">
      <c r="A12" s="136"/>
      <c r="B12" s="31" t="s">
        <v>3</v>
      </c>
      <c r="C12" s="41" t="s">
        <v>13</v>
      </c>
      <c r="D12" s="19" t="s">
        <v>127</v>
      </c>
      <c r="E12" s="45"/>
      <c r="F12" s="42" t="str">
        <f>IFERROR(
    VLOOKUP(
        VLOOKUP(E12 &amp; "_" &amp; B12, Mapping_Table!$A$3:$C$39, 3, FALSE),
        CDSS_Step_Table!$C$3:$F$39, 3, FALSE
    ) &amp; " - " &amp;
    VLOOKUP(
        VLOOKUP(E12 &amp; "_" &amp; B12, Mapping_Table!$A$3:$C$39, 3, FALSE),
        CDSS_Step_Table!$C$3:$F$39, 4, FALSE
    ),
    "No recommendation found"
)</f>
        <v>No recommendation found</v>
      </c>
      <c r="H12" s="64" t="s">
        <v>49</v>
      </c>
      <c r="I12" s="67"/>
      <c r="J12" s="63"/>
      <c r="K12" s="63"/>
      <c r="L12" s="63"/>
    </row>
    <row r="13" spans="1:12" ht="30" customHeight="1" x14ac:dyDescent="0.3">
      <c r="A13" s="136"/>
      <c r="B13" s="32" t="s">
        <v>78</v>
      </c>
      <c r="C13" s="37" t="s">
        <v>222</v>
      </c>
      <c r="D13" s="20" t="s">
        <v>127</v>
      </c>
      <c r="E13" s="38"/>
      <c r="F13" s="42" t="str">
        <f>IFERROR(
    VLOOKUP(
        VLOOKUP(E13 &amp; "_" &amp; B13, Mapping_Table!$A$3:$C$39, 3, FALSE),
        CDSS_Step_Table!$C$3:$F$39, 3, FALSE
    ) &amp; " - " &amp;
    VLOOKUP(
        VLOOKUP(E13 &amp; "_" &amp; B13, Mapping_Table!$A$3:$C$39, 3, FALSE),
        CDSS_Step_Table!$C$3:$F$39, 4, FALSE
    ),
    "No recommendation found"
)</f>
        <v>No recommendation found</v>
      </c>
    </row>
    <row r="14" spans="1:12" ht="30" customHeight="1" x14ac:dyDescent="0.3">
      <c r="A14" s="136"/>
      <c r="B14" s="10" t="s">
        <v>73</v>
      </c>
      <c r="C14" s="138" t="s">
        <v>216</v>
      </c>
      <c r="D14" s="39" t="s">
        <v>129</v>
      </c>
      <c r="E14" s="140"/>
      <c r="F14" s="142" t="str">
        <f>IFERROR(
    VLOOKUP(
        VLOOKUP(E14 &amp; "_" &amp; B14, Mapping_Table!$A$3:$C$39, 3, FALSE),
        CDSS_Step_Table!$C$3:$F$39, 3, FALSE
    ) &amp; " - " &amp;
    VLOOKUP(
        VLOOKUP(E14 &amp; "_" &amp; B14, Mapping_Table!$A$3:$C$39, 3, FALSE),
        CDSS_Step_Table!$C$3:$F$39, 4, FALSE
    ),
    "No recommendation found"
)</f>
        <v>No recommendation found</v>
      </c>
    </row>
    <row r="15" spans="1:12" ht="30" customHeight="1" x14ac:dyDescent="0.3">
      <c r="A15" s="137"/>
      <c r="B15" s="11"/>
      <c r="C15" s="139"/>
      <c r="D15" s="44" t="s">
        <v>130</v>
      </c>
      <c r="E15" s="141"/>
      <c r="F15" s="143"/>
    </row>
    <row r="16" spans="1:12" ht="30" customHeight="1" x14ac:dyDescent="0.3">
      <c r="A16" s="159">
        <v>4</v>
      </c>
      <c r="B16" s="162" t="s">
        <v>22</v>
      </c>
      <c r="C16" s="155" t="s">
        <v>215</v>
      </c>
      <c r="D16" s="19" t="s">
        <v>8</v>
      </c>
      <c r="E16" s="157"/>
      <c r="F16" s="169" t="str">
        <f>IFERROR(
    VLOOKUP(
        VLOOKUP(E16 &amp; "_" &amp; B16, Mapping_Table!$A$3:$C$39, 3, FALSE),
        CDSS_Step_Table!$C$3:$F$39, 3, FALSE
    ) &amp; " - " &amp;
    VLOOKUP(
        VLOOKUP(E16 &amp; "_" &amp; B16, Mapping_Table!$A$3:$C$39, 3, FALSE),
        CDSS_Step_Table!$C$3:$F$39, 4, FALSE
    ),
    "No recommendation found"
)</f>
        <v>No recommendation found</v>
      </c>
    </row>
    <row r="17" spans="1:6" ht="30" customHeight="1" x14ac:dyDescent="0.3">
      <c r="A17" s="160"/>
      <c r="B17" s="163"/>
      <c r="C17" s="165"/>
      <c r="D17" s="20" t="s">
        <v>131</v>
      </c>
      <c r="E17" s="166"/>
      <c r="F17" s="171"/>
    </row>
    <row r="18" spans="1:6" ht="30" customHeight="1" x14ac:dyDescent="0.3">
      <c r="A18" s="160"/>
      <c r="B18" s="163"/>
      <c r="C18" s="165"/>
      <c r="D18" s="39" t="s">
        <v>132</v>
      </c>
      <c r="E18" s="166"/>
      <c r="F18" s="171"/>
    </row>
    <row r="19" spans="1:6" ht="30" customHeight="1" x14ac:dyDescent="0.3">
      <c r="A19" s="160"/>
      <c r="B19" s="164"/>
      <c r="C19" s="156"/>
      <c r="D19" s="44" t="s">
        <v>133</v>
      </c>
      <c r="E19" s="158"/>
      <c r="F19" s="170"/>
    </row>
    <row r="20" spans="1:6" ht="30" customHeight="1" x14ac:dyDescent="0.3">
      <c r="A20" s="160"/>
      <c r="B20" s="30" t="s">
        <v>4</v>
      </c>
      <c r="C20" s="48" t="s">
        <v>214</v>
      </c>
      <c r="D20" s="19" t="s">
        <v>127</v>
      </c>
      <c r="E20" s="45"/>
      <c r="F20" s="47" t="str">
        <f>IFERROR(
    VLOOKUP(
        VLOOKUP(E20 &amp; "_" &amp; B20, Mapping_Table!$A$3:$C$39, 3, FALSE),
        CDSS_Step_Table!$C$3:$F$39, 3, FALSE
    ) &amp; " - " &amp;
    VLOOKUP(
        VLOOKUP(E20 &amp; "_" &amp; B20, Mapping_Table!$A$3:$C$39, 3, FALSE),
        CDSS_Step_Table!$C$3:$F$39, 4, FALSE
    ),
    "No recommendation found"
)</f>
        <v>No recommendation found</v>
      </c>
    </row>
    <row r="21" spans="1:6" ht="30" customHeight="1" x14ac:dyDescent="0.3">
      <c r="A21" s="160"/>
      <c r="B21" s="124" t="s">
        <v>134</v>
      </c>
      <c r="C21" s="121" t="s">
        <v>212</v>
      </c>
      <c r="D21" s="18" t="s">
        <v>135</v>
      </c>
      <c r="E21" s="118" t="s">
        <v>28</v>
      </c>
      <c r="F21" s="169" t="str">
        <f>IFERROR(
    VLOOKUP(
        VLOOKUP(E21 &amp; "_" &amp; B21, Mapping_Table!$A$3:$C$39, 3, FALSE),
        CDSS_Step_Table!$C$3:$F$39, 3, FALSE
    ) &amp; " - " &amp;
    VLOOKUP(
        VLOOKUP(E21 &amp; "_" &amp; B21, Mapping_Table!$A$3:$C$39, 3, FALSE),
        CDSS_Step_Table!$C$3:$F$39, 4, FALSE
    ),
    "No recommendation found"
)</f>
        <v>Start single antihypertensive - Drug choice based on age/ethnicity/diabetes</v>
      </c>
    </row>
    <row r="22" spans="1:6" ht="30" customHeight="1" x14ac:dyDescent="0.3">
      <c r="A22" s="160"/>
      <c r="B22" s="125"/>
      <c r="C22" s="122"/>
      <c r="D22" s="19" t="s">
        <v>28</v>
      </c>
      <c r="E22" s="119"/>
      <c r="F22" s="171"/>
    </row>
    <row r="23" spans="1:6" ht="30" customHeight="1" x14ac:dyDescent="0.3">
      <c r="A23" s="160"/>
      <c r="B23" s="125"/>
      <c r="C23" s="122"/>
      <c r="D23" s="20" t="s">
        <v>136</v>
      </c>
      <c r="E23" s="119"/>
      <c r="F23" s="171"/>
    </row>
    <row r="24" spans="1:6" ht="30" customHeight="1" x14ac:dyDescent="0.3">
      <c r="A24" s="160"/>
      <c r="B24" s="126"/>
      <c r="C24" s="123"/>
      <c r="D24" s="39" t="s">
        <v>137</v>
      </c>
      <c r="E24" s="120"/>
      <c r="F24" s="170"/>
    </row>
    <row r="25" spans="1:6" ht="30" customHeight="1" x14ac:dyDescent="0.3">
      <c r="A25" s="160"/>
      <c r="B25" s="124" t="s">
        <v>138</v>
      </c>
      <c r="C25" s="121" t="s">
        <v>213</v>
      </c>
      <c r="D25" s="22" t="s">
        <v>139</v>
      </c>
      <c r="E25" s="108"/>
      <c r="F25" s="169" t="str">
        <f>IFERROR(
    VLOOKUP(
        VLOOKUP(E25 &amp; "_" &amp; B25, Mapping_Table!$A$3:$C$39, 3, FALSE),
        CDSS_Step_Table!$C$3:$F$39, 3, FALSE
    ) &amp; " - " &amp;
    VLOOKUP(
        VLOOKUP(E25 &amp; "_" &amp; B25, Mapping_Table!$A$3:$C$39, 3, FALSE),
        CDSS_Step_Table!$C$3:$F$39, 4, FALSE
    ),
    "No recommendation found"
)</f>
        <v>No recommendation found</v>
      </c>
    </row>
    <row r="26" spans="1:6" ht="30" customHeight="1" x14ac:dyDescent="0.3">
      <c r="A26" s="160"/>
      <c r="B26" s="125"/>
      <c r="C26" s="122"/>
      <c r="D26" s="23" t="s">
        <v>140</v>
      </c>
      <c r="E26" s="153"/>
      <c r="F26" s="171"/>
    </row>
    <row r="27" spans="1:6" ht="30" customHeight="1" x14ac:dyDescent="0.3">
      <c r="A27" s="160"/>
      <c r="B27" s="126"/>
      <c r="C27" s="123"/>
      <c r="D27" s="24" t="s">
        <v>10</v>
      </c>
      <c r="E27" s="109"/>
      <c r="F27" s="170"/>
    </row>
    <row r="28" spans="1:6" ht="30" customHeight="1" x14ac:dyDescent="0.3">
      <c r="A28" s="160"/>
      <c r="B28" s="154" t="s">
        <v>95</v>
      </c>
      <c r="C28" s="155" t="s">
        <v>221</v>
      </c>
      <c r="D28" s="19" t="s">
        <v>141</v>
      </c>
      <c r="E28" s="157"/>
      <c r="F28" s="169" t="str">
        <f>IFERROR(
    VLOOKUP(
        VLOOKUP(E28 &amp; "_" &amp; B28, Mapping_Table!$A$3:$C$39, 3, FALSE),
        CDSS_Step_Table!$C$3:$F$39, 3, FALSE
    ) &amp; " - " &amp;
    VLOOKUP(
        VLOOKUP(E28 &amp; "_" &amp; B28, Mapping_Table!$A$3:$C$39, 3, FALSE),
        CDSS_Step_Table!$C$3:$F$39, 4, FALSE
    ),
    "No recommendation found"
)</f>
        <v>No recommendation found</v>
      </c>
    </row>
    <row r="29" spans="1:6" ht="30" customHeight="1" x14ac:dyDescent="0.3">
      <c r="A29" s="161"/>
      <c r="B29" s="154"/>
      <c r="C29" s="156"/>
      <c r="D29" s="20" t="s">
        <v>142</v>
      </c>
      <c r="E29" s="158"/>
      <c r="F29" s="170"/>
    </row>
    <row r="30" spans="1:6" ht="42" customHeight="1" x14ac:dyDescent="0.3">
      <c r="A30" s="144">
        <v>5</v>
      </c>
      <c r="B30" s="146" t="s">
        <v>34</v>
      </c>
      <c r="C30" s="147" t="s">
        <v>143</v>
      </c>
      <c r="D30" s="149" t="s">
        <v>144</v>
      </c>
      <c r="E30" s="151" t="s">
        <v>39</v>
      </c>
      <c r="F30" s="167" t="str">
        <f>IFERROR(
    VLOOKUP(
        VLOOKUP(E30 &amp; "_" &amp; B30, Mapping_Table!$A$3:$C$39, 3, FALSE),
        CDSS_Step_Table!$C$3:$F$39, 3, FALSE
    ) &amp; " - " &amp;
    VLOOKUP(
        VLOOKUP(E30 &amp; "_" &amp; B30, Mapping_Table!$A$3:$C$39, 3, FALSE),
        CDSS_Step_Table!$C$3:$F$39, 4, FALSE
    ),
    "No recommendation found"
)</f>
        <v>Severe BP (≥180/120) + symptoms/organ damage - Refer same day to specialist</v>
      </c>
    </row>
    <row r="31" spans="1:6" x14ac:dyDescent="0.3">
      <c r="A31" s="145"/>
      <c r="B31" s="146"/>
      <c r="C31" s="148"/>
      <c r="D31" s="150"/>
      <c r="E31" s="152"/>
      <c r="F31" s="168"/>
    </row>
  </sheetData>
  <mergeCells count="39">
    <mergeCell ref="F30:F31"/>
    <mergeCell ref="F28:F29"/>
    <mergeCell ref="F25:F27"/>
    <mergeCell ref="F21:F24"/>
    <mergeCell ref="F16:F19"/>
    <mergeCell ref="F14:F15"/>
    <mergeCell ref="A30:A31"/>
    <mergeCell ref="B30:B31"/>
    <mergeCell ref="C30:C31"/>
    <mergeCell ref="D30:D31"/>
    <mergeCell ref="E30:E31"/>
    <mergeCell ref="C25:C27"/>
    <mergeCell ref="E25:E27"/>
    <mergeCell ref="B28:B29"/>
    <mergeCell ref="C28:C29"/>
    <mergeCell ref="E28:E29"/>
    <mergeCell ref="A16:A29"/>
    <mergeCell ref="B16:B19"/>
    <mergeCell ref="C16:C19"/>
    <mergeCell ref="E16:E19"/>
    <mergeCell ref="B21:B24"/>
    <mergeCell ref="C21:C24"/>
    <mergeCell ref="E21:E24"/>
    <mergeCell ref="B25:B27"/>
    <mergeCell ref="A8:A10"/>
    <mergeCell ref="B9:B10"/>
    <mergeCell ref="C9:C10"/>
    <mergeCell ref="E9:E10"/>
    <mergeCell ref="A11:A15"/>
    <mergeCell ref="C14:C15"/>
    <mergeCell ref="E14:E15"/>
    <mergeCell ref="H2:L2"/>
    <mergeCell ref="F9:F10"/>
    <mergeCell ref="A1:F1"/>
    <mergeCell ref="A3:A7"/>
    <mergeCell ref="B3:B5"/>
    <mergeCell ref="C3:C5"/>
    <mergeCell ref="E3:E5"/>
    <mergeCell ref="F3:F5"/>
  </mergeCells>
  <phoneticPr fontId="3" type="noConversion"/>
  <conditionalFormatting sqref="F3:F5">
    <cfRule type="expression" dxfId="35" priority="17">
      <formula>ISNUMBER(SEARCH("Severely elevated clinic BP", F3))</formula>
    </cfRule>
    <cfRule type="expression" dxfId="34" priority="18">
      <formula>ISNUMBER(SEARCH("Elevated clinic BP", F3))</formula>
    </cfRule>
    <cfRule type="expression" dxfId="33" priority="19">
      <formula>ISNUMBER(SEARCH("Normal clinic BP", F3))</formula>
    </cfRule>
  </conditionalFormatting>
  <conditionalFormatting sqref="F6">
    <cfRule type="expression" dxfId="32" priority="46">
      <formula>ISNUMBER(SEARCH("No action needed", F6))</formula>
    </cfRule>
    <cfRule type="expression" dxfId="31" priority="45">
      <formula>ISNUMBER(SEARCH("Significant drop after standing", F6))</formula>
    </cfRule>
  </conditionalFormatting>
  <conditionalFormatting sqref="F7">
    <cfRule type="expression" dxfId="30" priority="42">
      <formula>ISNUMBER(SEARCH("Improper device", F7))</formula>
    </cfRule>
    <cfRule type="expression" dxfId="29" priority="43">
      <formula>ISNUMBER(SEARCH("Proper device", F7))</formula>
    </cfRule>
  </conditionalFormatting>
  <conditionalFormatting sqref="F8">
    <cfRule type="expression" dxfId="28" priority="41">
      <formula>ISNUMBER(SEARCH("ABPM/HBPM performed", F8))</formula>
    </cfRule>
    <cfRule type="expression" dxfId="27" priority="40">
      <formula>ISNUMBER(SEARCH("No out-of-clinic confirmation", F8))</formula>
    </cfRule>
  </conditionalFormatting>
  <conditionalFormatting sqref="F9:F10">
    <cfRule type="expression" dxfId="26" priority="36">
      <formula>ISNUMBER(SEARCH("Confirmed HTN", F9))</formula>
    </cfRule>
    <cfRule type="expression" dxfId="25" priority="35">
      <formula>ISNUMBER(SEARCH("Not confirmed by ABPM/HBPM", F9))</formula>
    </cfRule>
  </conditionalFormatting>
  <conditionalFormatting sqref="F11">
    <cfRule type="expression" dxfId="24" priority="34">
      <formula>ISNUMBER(SEARCH("Diabetes present", F11))</formula>
    </cfRule>
    <cfRule type="expression" dxfId="23" priority="33">
      <formula>ISNUMBER(SEARCH("No diabetes", F11))</formula>
    </cfRule>
  </conditionalFormatting>
  <conditionalFormatting sqref="F12">
    <cfRule type="expression" dxfId="22" priority="30">
      <formula>ISNUMBER(SEARCH("CKD present", F12))</formula>
    </cfRule>
    <cfRule type="expression" dxfId="21" priority="28">
      <formula>ISNUMBER(SEARCH("No CKD", F12))</formula>
    </cfRule>
  </conditionalFormatting>
  <conditionalFormatting sqref="F13">
    <cfRule type="expression" dxfId="20" priority="27">
      <formula>ISNUMBER(SEARCH("Evidence of organ damage", F13))</formula>
    </cfRule>
    <cfRule type="expression" dxfId="19" priority="26">
      <formula>ISNUMBER(SEARCH("No evidence of organ damage", F13))</formula>
    </cfRule>
  </conditionalFormatting>
  <conditionalFormatting sqref="F14:F15">
    <cfRule type="expression" dxfId="18" priority="25">
      <formula>ISNUMBER(SEARCH("High CVD risk", F14))</formula>
    </cfRule>
    <cfRule type="expression" dxfId="17" priority="24">
      <formula>ISNUMBER(SEARCH("Low 10-year CVD risk", F14))</formula>
    </cfRule>
  </conditionalFormatting>
  <conditionalFormatting sqref="F16:F19">
    <cfRule type="expression" dxfId="16" priority="22">
      <formula>ISNUMBER(SEARCH("younger adults", F16))</formula>
    </cfRule>
    <cfRule type="expression" dxfId="15" priority="23">
      <formula>ISNUMBER(SEARCH("Black ethnicity", F16))</formula>
    </cfRule>
    <cfRule type="expression" dxfId="14" priority="20">
      <formula>ISNUMBER(SEARCH("diabetes", F16))</formula>
    </cfRule>
    <cfRule type="expression" dxfId="13" priority="21">
      <formula>ISNUMBER(SEARCH("older adults", F16))</formula>
    </cfRule>
  </conditionalFormatting>
  <conditionalFormatting sqref="F20">
    <cfRule type="expression" dxfId="12" priority="15">
      <formula>ISNUMBER(SEARCH("Not frail", F20))</formula>
    </cfRule>
    <cfRule type="expression" dxfId="11" priority="14">
      <formula>ISNUMBER(SEARCH("Frail or over 80", F20))</formula>
    </cfRule>
  </conditionalFormatting>
  <conditionalFormatting sqref="F21:F24">
    <cfRule type="expression" dxfId="10" priority="13">
      <formula>ISNUMBER(SEARCH("Non-pharmacological management", F21))</formula>
    </cfRule>
    <cfRule type="expression" dxfId="9" priority="12">
      <formula>ISNUMBER(SEARCH("Start single antihypertensive", F21))</formula>
    </cfRule>
    <cfRule type="expression" dxfId="8" priority="10">
      <formula>ISNUMBER(SEARCH("Consider 4th agent", F21))</formula>
    </cfRule>
    <cfRule type="expression" dxfId="7" priority="9">
      <formula>ISNUMBER(SEARCH("Add second/third agent", F21))</formula>
    </cfRule>
  </conditionalFormatting>
  <conditionalFormatting sqref="F25:F27">
    <cfRule type="expression" dxfId="6" priority="8">
      <formula>ISNUMBER(SEARCH("Clinic BP target", F25))</formula>
    </cfRule>
    <cfRule type="expression" priority="7">
      <formula>ISNUMBER(SEARCH("not at target", F25))</formula>
    </cfRule>
    <cfRule type="expression" dxfId="5" priority="6">
      <formula>ISNUMBER(SEARCH("not at target", F25))</formula>
    </cfRule>
  </conditionalFormatting>
  <conditionalFormatting sqref="F28:F29">
    <cfRule type="expression" dxfId="4" priority="5">
      <formula>ISNUMBER(SEARCH("Safe for spironolactone", F28))</formula>
    </cfRule>
    <cfRule type="expression" dxfId="3" priority="4">
      <formula>ISNUMBER(SEARCH("Use alpha/beta blocker", F28))</formula>
    </cfRule>
  </conditionalFormatting>
  <conditionalFormatting sqref="F30:F31">
    <cfRule type="expression" dxfId="2" priority="3">
      <formula>ISNUMBER(SEARCH("Routine management", F30))</formula>
    </cfRule>
    <cfRule type="expression" dxfId="1" priority="2">
      <formula>ISNUMBER(SEARCH("secondary HTN", F30))</formula>
    </cfRule>
    <cfRule type="expression" dxfId="0" priority="1">
      <formula>ISNUMBER(SEARCH("Severe BP", F30))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A9028-0E81-4D9E-8472-1C01E68D9251}">
  <dimension ref="A1:J39"/>
  <sheetViews>
    <sheetView zoomScale="50" zoomScaleNormal="50" workbookViewId="0">
      <selection activeCell="H13" sqref="H13"/>
    </sheetView>
  </sheetViews>
  <sheetFormatPr defaultRowHeight="14" x14ac:dyDescent="0.3"/>
  <cols>
    <col min="1" max="1" width="6.9140625" customWidth="1"/>
    <col min="2" max="2" width="21.5" customWidth="1"/>
    <col min="3" max="3" width="12.6640625" customWidth="1"/>
    <col min="4" max="4" width="29.4140625" customWidth="1"/>
    <col min="5" max="5" width="29.83203125" customWidth="1"/>
    <col min="6" max="6" width="42.6640625" customWidth="1"/>
    <col min="7" max="7" width="6.58203125" customWidth="1"/>
    <col min="8" max="8" width="14.1640625" customWidth="1"/>
    <col min="9" max="9" width="32.58203125" customWidth="1"/>
    <col min="10" max="10" width="22.33203125" customWidth="1"/>
  </cols>
  <sheetData>
    <row r="1" spans="1:10" ht="31.5" customHeight="1" x14ac:dyDescent="0.4">
      <c r="A1" s="174" t="s">
        <v>252</v>
      </c>
      <c r="B1" s="175"/>
      <c r="C1" s="175"/>
      <c r="D1" s="175"/>
      <c r="E1" s="175"/>
    </row>
    <row r="2" spans="1:10" ht="30" customHeight="1" x14ac:dyDescent="0.4">
      <c r="A2" s="4" t="s">
        <v>50</v>
      </c>
      <c r="B2" s="4" t="s">
        <v>0</v>
      </c>
      <c r="C2" s="4" t="s">
        <v>146</v>
      </c>
      <c r="D2" s="4" t="s">
        <v>14</v>
      </c>
      <c r="E2" s="4" t="s">
        <v>15</v>
      </c>
      <c r="F2" s="4" t="s">
        <v>16</v>
      </c>
      <c r="H2" s="172" t="s">
        <v>123</v>
      </c>
      <c r="I2" s="173"/>
      <c r="J2" s="173"/>
    </row>
    <row r="3" spans="1:10" ht="30" customHeight="1" x14ac:dyDescent="0.3">
      <c r="A3" s="112">
        <v>1</v>
      </c>
      <c r="B3" s="112" t="s">
        <v>1</v>
      </c>
      <c r="C3" s="5" t="s">
        <v>17</v>
      </c>
      <c r="D3" s="18" t="s">
        <v>51</v>
      </c>
      <c r="E3" s="18" t="s">
        <v>52</v>
      </c>
      <c r="F3" s="18" t="s">
        <v>53</v>
      </c>
      <c r="H3" s="60" t="s">
        <v>50</v>
      </c>
      <c r="I3" s="60" t="s">
        <v>113</v>
      </c>
      <c r="J3" s="60" t="s">
        <v>114</v>
      </c>
    </row>
    <row r="4" spans="1:10" ht="30" customHeight="1" x14ac:dyDescent="0.3">
      <c r="A4" s="113"/>
      <c r="B4" s="113"/>
      <c r="C4" s="6" t="s">
        <v>18</v>
      </c>
      <c r="D4" s="19" t="s">
        <v>54</v>
      </c>
      <c r="E4" s="19" t="s">
        <v>55</v>
      </c>
      <c r="F4" s="19" t="s">
        <v>56</v>
      </c>
      <c r="H4" s="80">
        <v>1</v>
      </c>
      <c r="I4" s="81" t="s">
        <v>115</v>
      </c>
      <c r="J4" s="81" t="s">
        <v>116</v>
      </c>
    </row>
    <row r="5" spans="1:10" ht="30" customHeight="1" x14ac:dyDescent="0.3">
      <c r="A5" s="113"/>
      <c r="B5" s="114"/>
      <c r="C5" s="7" t="s">
        <v>19</v>
      </c>
      <c r="D5" s="20" t="s">
        <v>57</v>
      </c>
      <c r="E5" s="20" t="s">
        <v>58</v>
      </c>
      <c r="F5" s="20" t="s">
        <v>59</v>
      </c>
      <c r="H5" s="82">
        <v>2</v>
      </c>
      <c r="I5" s="83" t="s">
        <v>66</v>
      </c>
      <c r="J5" s="83" t="s">
        <v>117</v>
      </c>
    </row>
    <row r="6" spans="1:10" ht="30" customHeight="1" x14ac:dyDescent="0.3">
      <c r="A6" s="113"/>
      <c r="B6" s="178" t="s">
        <v>60</v>
      </c>
      <c r="C6" s="25" t="s">
        <v>147</v>
      </c>
      <c r="D6" s="21" t="s">
        <v>158</v>
      </c>
      <c r="E6" s="21" t="s">
        <v>61</v>
      </c>
      <c r="F6" s="21" t="s">
        <v>62</v>
      </c>
      <c r="H6" s="80">
        <v>3</v>
      </c>
      <c r="I6" s="81" t="s">
        <v>118</v>
      </c>
      <c r="J6" s="81" t="s">
        <v>119</v>
      </c>
    </row>
    <row r="7" spans="1:10" ht="30" customHeight="1" x14ac:dyDescent="0.3">
      <c r="A7" s="113"/>
      <c r="B7" s="179"/>
      <c r="C7" s="26" t="s">
        <v>148</v>
      </c>
      <c r="D7" s="22" t="s">
        <v>159</v>
      </c>
      <c r="E7" s="22" t="s">
        <v>160</v>
      </c>
      <c r="F7" s="22" t="s">
        <v>161</v>
      </c>
      <c r="H7" s="82">
        <v>4</v>
      </c>
      <c r="I7" s="83" t="s">
        <v>120</v>
      </c>
      <c r="J7" s="83" t="s">
        <v>121</v>
      </c>
    </row>
    <row r="8" spans="1:10" ht="30" customHeight="1" x14ac:dyDescent="0.3">
      <c r="A8" s="113"/>
      <c r="B8" s="178" t="s">
        <v>63</v>
      </c>
      <c r="C8" s="25" t="s">
        <v>149</v>
      </c>
      <c r="D8" s="21" t="s">
        <v>162</v>
      </c>
      <c r="E8" s="21" t="s">
        <v>64</v>
      </c>
      <c r="F8" s="21" t="s">
        <v>65</v>
      </c>
      <c r="H8" s="80">
        <v>5</v>
      </c>
      <c r="I8" s="81" t="s">
        <v>34</v>
      </c>
      <c r="J8" s="81" t="s">
        <v>122</v>
      </c>
    </row>
    <row r="9" spans="1:10" ht="30" customHeight="1" x14ac:dyDescent="0.3">
      <c r="A9" s="114"/>
      <c r="B9" s="179"/>
      <c r="C9" s="26" t="s">
        <v>150</v>
      </c>
      <c r="D9" s="22" t="s">
        <v>163</v>
      </c>
      <c r="E9" s="22" t="s">
        <v>164</v>
      </c>
      <c r="F9" s="22" t="s">
        <v>165</v>
      </c>
    </row>
    <row r="10" spans="1:10" ht="30" customHeight="1" x14ac:dyDescent="0.3">
      <c r="A10" s="127">
        <v>2</v>
      </c>
      <c r="B10" s="127" t="s">
        <v>66</v>
      </c>
      <c r="C10" s="8" t="s">
        <v>21</v>
      </c>
      <c r="D10" s="21" t="s">
        <v>166</v>
      </c>
      <c r="E10" s="21" t="s">
        <v>167</v>
      </c>
      <c r="F10" s="21" t="s">
        <v>168</v>
      </c>
    </row>
    <row r="11" spans="1:10" ht="30" customHeight="1" x14ac:dyDescent="0.3">
      <c r="A11" s="128"/>
      <c r="B11" s="129"/>
      <c r="C11" s="9" t="s">
        <v>20</v>
      </c>
      <c r="D11" s="22" t="s">
        <v>169</v>
      </c>
      <c r="E11" s="22" t="s">
        <v>67</v>
      </c>
      <c r="F11" s="22" t="s">
        <v>68</v>
      </c>
    </row>
    <row r="12" spans="1:10" ht="30" customHeight="1" x14ac:dyDescent="0.3">
      <c r="A12" s="128"/>
      <c r="B12" s="127" t="s">
        <v>128</v>
      </c>
      <c r="C12" s="8" t="s">
        <v>24</v>
      </c>
      <c r="D12" s="21" t="s">
        <v>170</v>
      </c>
      <c r="E12" s="21" t="s">
        <v>69</v>
      </c>
      <c r="F12" s="21" t="s">
        <v>70</v>
      </c>
    </row>
    <row r="13" spans="1:10" ht="30" customHeight="1" x14ac:dyDescent="0.3">
      <c r="A13" s="129"/>
      <c r="B13" s="129"/>
      <c r="C13" s="9" t="s">
        <v>25</v>
      </c>
      <c r="D13" s="22" t="s">
        <v>171</v>
      </c>
      <c r="E13" s="22" t="s">
        <v>71</v>
      </c>
      <c r="F13" s="22" t="s">
        <v>72</v>
      </c>
    </row>
    <row r="14" spans="1:10" ht="30" customHeight="1" x14ac:dyDescent="0.3">
      <c r="A14" s="176">
        <v>3</v>
      </c>
      <c r="B14" s="176" t="s">
        <v>2</v>
      </c>
      <c r="C14" s="10" t="s">
        <v>151</v>
      </c>
      <c r="D14" s="21" t="s">
        <v>172</v>
      </c>
      <c r="E14" s="21" t="s">
        <v>173</v>
      </c>
      <c r="F14" s="21" t="s">
        <v>174</v>
      </c>
    </row>
    <row r="15" spans="1:10" ht="30" customHeight="1" x14ac:dyDescent="0.3">
      <c r="A15" s="183"/>
      <c r="B15" s="177"/>
      <c r="C15" s="11" t="s">
        <v>152</v>
      </c>
      <c r="D15" s="22" t="s">
        <v>175</v>
      </c>
      <c r="E15" s="22" t="s">
        <v>176</v>
      </c>
      <c r="F15" s="22" t="s">
        <v>177</v>
      </c>
    </row>
    <row r="16" spans="1:10" ht="30" customHeight="1" x14ac:dyDescent="0.3">
      <c r="A16" s="183"/>
      <c r="B16" s="176" t="s">
        <v>3</v>
      </c>
      <c r="C16" s="10" t="s">
        <v>226</v>
      </c>
      <c r="D16" s="21" t="s">
        <v>178</v>
      </c>
      <c r="E16" s="21" t="s">
        <v>179</v>
      </c>
      <c r="F16" s="21" t="s">
        <v>180</v>
      </c>
    </row>
    <row r="17" spans="1:6" ht="30" customHeight="1" x14ac:dyDescent="0.3">
      <c r="A17" s="183"/>
      <c r="B17" s="177"/>
      <c r="C17" s="11" t="s">
        <v>227</v>
      </c>
      <c r="D17" s="22" t="s">
        <v>181</v>
      </c>
      <c r="E17" s="22" t="s">
        <v>182</v>
      </c>
      <c r="F17" s="22" t="s">
        <v>183</v>
      </c>
    </row>
    <row r="18" spans="1:6" ht="30" customHeight="1" x14ac:dyDescent="0.3">
      <c r="A18" s="183"/>
      <c r="B18" s="176" t="s">
        <v>78</v>
      </c>
      <c r="C18" s="10" t="s">
        <v>228</v>
      </c>
      <c r="D18" s="21" t="s">
        <v>184</v>
      </c>
      <c r="E18" s="21" t="s">
        <v>79</v>
      </c>
      <c r="F18" s="21" t="s">
        <v>80</v>
      </c>
    </row>
    <row r="19" spans="1:6" ht="30" customHeight="1" x14ac:dyDescent="0.3">
      <c r="A19" s="183"/>
      <c r="B19" s="177"/>
      <c r="C19" s="11" t="s">
        <v>229</v>
      </c>
      <c r="D19" s="22" t="s">
        <v>185</v>
      </c>
      <c r="E19" s="22" t="s">
        <v>186</v>
      </c>
      <c r="F19" s="22" t="s">
        <v>187</v>
      </c>
    </row>
    <row r="20" spans="1:6" ht="30" customHeight="1" x14ac:dyDescent="0.3">
      <c r="A20" s="183"/>
      <c r="B20" s="176" t="s">
        <v>73</v>
      </c>
      <c r="C20" s="10" t="s">
        <v>23</v>
      </c>
      <c r="D20" s="21" t="s">
        <v>188</v>
      </c>
      <c r="E20" s="21" t="s">
        <v>74</v>
      </c>
      <c r="F20" s="21" t="s">
        <v>75</v>
      </c>
    </row>
    <row r="21" spans="1:6" ht="30" customHeight="1" x14ac:dyDescent="0.3">
      <c r="A21" s="177"/>
      <c r="B21" s="177"/>
      <c r="C21" s="11" t="s">
        <v>26</v>
      </c>
      <c r="D21" s="22" t="s">
        <v>189</v>
      </c>
      <c r="E21" s="22" t="s">
        <v>76</v>
      </c>
      <c r="F21" s="22" t="s">
        <v>77</v>
      </c>
    </row>
    <row r="22" spans="1:6" ht="30" customHeight="1" x14ac:dyDescent="0.3">
      <c r="A22" s="162">
        <v>4</v>
      </c>
      <c r="B22" s="162" t="s">
        <v>22</v>
      </c>
      <c r="C22" s="12" t="s">
        <v>230</v>
      </c>
      <c r="D22" s="21" t="s">
        <v>190</v>
      </c>
      <c r="E22" s="21" t="s">
        <v>93</v>
      </c>
      <c r="F22" s="21" t="s">
        <v>191</v>
      </c>
    </row>
    <row r="23" spans="1:6" ht="30" customHeight="1" x14ac:dyDescent="0.3">
      <c r="A23" s="163"/>
      <c r="B23" s="163"/>
      <c r="C23" s="29" t="s">
        <v>231</v>
      </c>
      <c r="D23" s="22" t="s">
        <v>192</v>
      </c>
      <c r="E23" s="22" t="s">
        <v>94</v>
      </c>
      <c r="F23" s="22" t="s">
        <v>193</v>
      </c>
    </row>
    <row r="24" spans="1:6" ht="30" customHeight="1" x14ac:dyDescent="0.3">
      <c r="A24" s="163"/>
      <c r="B24" s="163"/>
      <c r="C24" s="13" t="s">
        <v>232</v>
      </c>
      <c r="D24" s="23" t="s">
        <v>194</v>
      </c>
      <c r="E24" s="23" t="s">
        <v>94</v>
      </c>
      <c r="F24" s="23" t="s">
        <v>195</v>
      </c>
    </row>
    <row r="25" spans="1:6" ht="30" customHeight="1" x14ac:dyDescent="0.3">
      <c r="A25" s="163"/>
      <c r="B25" s="164"/>
      <c r="C25" s="14" t="s">
        <v>233</v>
      </c>
      <c r="D25" s="24" t="s">
        <v>196</v>
      </c>
      <c r="E25" s="24" t="s">
        <v>93</v>
      </c>
      <c r="F25" s="24" t="s">
        <v>197</v>
      </c>
    </row>
    <row r="26" spans="1:6" ht="30" customHeight="1" x14ac:dyDescent="0.3">
      <c r="A26" s="163"/>
      <c r="B26" s="162" t="s">
        <v>4</v>
      </c>
      <c r="C26" s="12" t="s">
        <v>234</v>
      </c>
      <c r="D26" s="21" t="s">
        <v>198</v>
      </c>
      <c r="E26" s="21" t="s">
        <v>199</v>
      </c>
      <c r="F26" s="21" t="s">
        <v>200</v>
      </c>
    </row>
    <row r="27" spans="1:6" ht="30" customHeight="1" x14ac:dyDescent="0.3">
      <c r="A27" s="163"/>
      <c r="B27" s="164"/>
      <c r="C27" s="14" t="s">
        <v>235</v>
      </c>
      <c r="D27" s="22" t="s">
        <v>201</v>
      </c>
      <c r="E27" s="22" t="s">
        <v>202</v>
      </c>
      <c r="F27" s="22" t="s">
        <v>203</v>
      </c>
    </row>
    <row r="28" spans="1:6" ht="30" customHeight="1" x14ac:dyDescent="0.3">
      <c r="A28" s="163"/>
      <c r="B28" s="162" t="s">
        <v>134</v>
      </c>
      <c r="C28" s="12" t="s">
        <v>27</v>
      </c>
      <c r="D28" s="21" t="s">
        <v>81</v>
      </c>
      <c r="E28" s="21" t="s">
        <v>82</v>
      </c>
      <c r="F28" s="21" t="s">
        <v>83</v>
      </c>
    </row>
    <row r="29" spans="1:6" ht="30" customHeight="1" x14ac:dyDescent="0.3">
      <c r="A29" s="163"/>
      <c r="B29" s="163"/>
      <c r="C29" s="13" t="s">
        <v>29</v>
      </c>
      <c r="D29" s="22" t="s">
        <v>84</v>
      </c>
      <c r="E29" s="22" t="s">
        <v>85</v>
      </c>
      <c r="F29" s="22" t="s">
        <v>86</v>
      </c>
    </row>
    <row r="30" spans="1:6" ht="30" customHeight="1" x14ac:dyDescent="0.3">
      <c r="A30" s="163"/>
      <c r="B30" s="163"/>
      <c r="C30" s="13" t="s">
        <v>30</v>
      </c>
      <c r="D30" s="23" t="s">
        <v>87</v>
      </c>
      <c r="E30" s="23" t="s">
        <v>88</v>
      </c>
      <c r="F30" s="23" t="s">
        <v>89</v>
      </c>
    </row>
    <row r="31" spans="1:6" ht="30" customHeight="1" x14ac:dyDescent="0.3">
      <c r="A31" s="163"/>
      <c r="B31" s="164"/>
      <c r="C31" s="14" t="s">
        <v>31</v>
      </c>
      <c r="D31" s="24" t="s">
        <v>90</v>
      </c>
      <c r="E31" s="24" t="s">
        <v>91</v>
      </c>
      <c r="F31" s="24" t="s">
        <v>92</v>
      </c>
    </row>
    <row r="32" spans="1:6" ht="30" customHeight="1" x14ac:dyDescent="0.3">
      <c r="A32" s="163"/>
      <c r="B32" s="162" t="s">
        <v>138</v>
      </c>
      <c r="C32" s="12" t="s">
        <v>153</v>
      </c>
      <c r="D32" s="21" t="s">
        <v>99</v>
      </c>
      <c r="E32" s="21" t="s">
        <v>100</v>
      </c>
      <c r="F32" s="21" t="s">
        <v>101</v>
      </c>
    </row>
    <row r="33" spans="1:6" ht="30" customHeight="1" x14ac:dyDescent="0.3">
      <c r="A33" s="163"/>
      <c r="B33" s="163"/>
      <c r="C33" s="13" t="s">
        <v>154</v>
      </c>
      <c r="D33" s="22" t="s">
        <v>102</v>
      </c>
      <c r="E33" s="22" t="s">
        <v>103</v>
      </c>
      <c r="F33" s="22" t="s">
        <v>104</v>
      </c>
    </row>
    <row r="34" spans="1:6" ht="30" customHeight="1" x14ac:dyDescent="0.3">
      <c r="A34" s="163"/>
      <c r="B34" s="164"/>
      <c r="C34" s="14" t="s">
        <v>236</v>
      </c>
      <c r="D34" s="23" t="s">
        <v>204</v>
      </c>
      <c r="E34" s="23" t="s">
        <v>205</v>
      </c>
      <c r="F34" s="23" t="s">
        <v>206</v>
      </c>
    </row>
    <row r="35" spans="1:6" ht="30" customHeight="1" x14ac:dyDescent="0.3">
      <c r="A35" s="163"/>
      <c r="B35" s="124" t="s">
        <v>95</v>
      </c>
      <c r="C35" s="27" t="s">
        <v>32</v>
      </c>
      <c r="D35" s="18" t="s">
        <v>207</v>
      </c>
      <c r="E35" s="18" t="s">
        <v>96</v>
      </c>
      <c r="F35" s="18" t="s">
        <v>97</v>
      </c>
    </row>
    <row r="36" spans="1:6" ht="30" customHeight="1" x14ac:dyDescent="0.3">
      <c r="A36" s="164"/>
      <c r="B36" s="126"/>
      <c r="C36" s="28" t="s">
        <v>33</v>
      </c>
      <c r="D36" s="19" t="s">
        <v>208</v>
      </c>
      <c r="E36" s="19" t="s">
        <v>98</v>
      </c>
      <c r="F36" s="19" t="s">
        <v>97</v>
      </c>
    </row>
    <row r="37" spans="1:6" ht="30" customHeight="1" x14ac:dyDescent="0.3">
      <c r="A37" s="180">
        <v>5</v>
      </c>
      <c r="B37" s="180" t="s">
        <v>34</v>
      </c>
      <c r="C37" s="15" t="s">
        <v>35</v>
      </c>
      <c r="D37" s="18" t="s">
        <v>105</v>
      </c>
      <c r="E37" s="18" t="s">
        <v>106</v>
      </c>
      <c r="F37" s="18" t="s">
        <v>37</v>
      </c>
    </row>
    <row r="38" spans="1:6" ht="30" customHeight="1" x14ac:dyDescent="0.3">
      <c r="A38" s="181"/>
      <c r="B38" s="181"/>
      <c r="C38" s="16" t="s">
        <v>38</v>
      </c>
      <c r="D38" s="19" t="s">
        <v>107</v>
      </c>
      <c r="E38" s="19" t="s">
        <v>108</v>
      </c>
      <c r="F38" s="19" t="s">
        <v>109</v>
      </c>
    </row>
    <row r="39" spans="1:6" ht="30" customHeight="1" x14ac:dyDescent="0.3">
      <c r="A39" s="182"/>
      <c r="B39" s="182"/>
      <c r="C39" s="17" t="s">
        <v>156</v>
      </c>
      <c r="D39" s="24" t="s">
        <v>110</v>
      </c>
      <c r="E39" s="24" t="s">
        <v>111</v>
      </c>
      <c r="F39" s="24" t="s">
        <v>112</v>
      </c>
    </row>
  </sheetData>
  <mergeCells count="22">
    <mergeCell ref="A37:A39"/>
    <mergeCell ref="B37:B39"/>
    <mergeCell ref="B16:B17"/>
    <mergeCell ref="B18:B19"/>
    <mergeCell ref="A22:A36"/>
    <mergeCell ref="B22:B25"/>
    <mergeCell ref="B26:B27"/>
    <mergeCell ref="B28:B31"/>
    <mergeCell ref="B32:B34"/>
    <mergeCell ref="B35:B36"/>
    <mergeCell ref="A14:A21"/>
    <mergeCell ref="H2:J2"/>
    <mergeCell ref="A1:E1"/>
    <mergeCell ref="B3:B5"/>
    <mergeCell ref="B14:B15"/>
    <mergeCell ref="B20:B21"/>
    <mergeCell ref="B10:B11"/>
    <mergeCell ref="A3:A9"/>
    <mergeCell ref="B6:B7"/>
    <mergeCell ref="B8:B9"/>
    <mergeCell ref="A10:A13"/>
    <mergeCell ref="B12:B13"/>
  </mergeCells>
  <hyperlinks>
    <hyperlink ref="C23" r:id="rId1" display="A@" xr:uid="{EDAB368F-9AEF-4F62-B3D3-CD7912394C9B}"/>
  </hyperlinks>
  <pageMargins left="0.7" right="0.7" top="0.75" bottom="0.75" header="0.3" footer="0.3"/>
  <pageSetup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2B731-BE60-4967-B839-05A5514347A8}">
  <dimension ref="A1:K39"/>
  <sheetViews>
    <sheetView topLeftCell="A8" workbookViewId="0">
      <selection activeCell="H35" sqref="H35"/>
    </sheetView>
  </sheetViews>
  <sheetFormatPr defaultRowHeight="14" x14ac:dyDescent="0.3"/>
  <cols>
    <col min="1" max="1" width="38.25" customWidth="1"/>
    <col min="2" max="2" width="27.83203125" customWidth="1"/>
    <col min="3" max="3" width="25.4140625" customWidth="1"/>
    <col min="4" max="4" width="27.75" customWidth="1"/>
    <col min="5" max="5" width="12.75" customWidth="1"/>
  </cols>
  <sheetData>
    <row r="1" spans="1:5" ht="25" customHeight="1" x14ac:dyDescent="0.4">
      <c r="A1" s="184" t="s">
        <v>157</v>
      </c>
      <c r="B1" s="185"/>
      <c r="C1" s="185"/>
      <c r="D1" s="185"/>
      <c r="E1" s="1"/>
    </row>
    <row r="2" spans="1:5" ht="25" customHeight="1" x14ac:dyDescent="0.3">
      <c r="A2" s="101" t="s">
        <v>237</v>
      </c>
      <c r="B2" s="102" t="s">
        <v>145</v>
      </c>
      <c r="C2" s="102" t="s">
        <v>146</v>
      </c>
      <c r="D2" s="102" t="s">
        <v>0</v>
      </c>
    </row>
    <row r="3" spans="1:5" ht="25" customHeight="1" x14ac:dyDescent="0.3">
      <c r="A3" s="84" t="str">
        <f t="shared" ref="A3:A39" si="0">B3 &amp; "_" &amp; D3</f>
        <v>&lt;140/90_Clinic BP</v>
      </c>
      <c r="B3" s="87" t="s">
        <v>5</v>
      </c>
      <c r="C3" s="87" t="s">
        <v>17</v>
      </c>
      <c r="D3" s="88" t="s">
        <v>1</v>
      </c>
    </row>
    <row r="4" spans="1:5" ht="25" customHeight="1" x14ac:dyDescent="0.3">
      <c r="A4" s="84" t="str">
        <f t="shared" si="0"/>
        <v>140–179/90–119_Clinic BP</v>
      </c>
      <c r="B4" s="85" t="s">
        <v>9</v>
      </c>
      <c r="C4" s="85" t="s">
        <v>18</v>
      </c>
      <c r="D4" s="88" t="s">
        <v>1</v>
      </c>
    </row>
    <row r="5" spans="1:5" ht="25" customHeight="1" x14ac:dyDescent="0.3">
      <c r="A5" s="84" t="str">
        <f t="shared" si="0"/>
        <v>≥180/120_Clinic BP</v>
      </c>
      <c r="B5" s="87" t="s">
        <v>12</v>
      </c>
      <c r="C5" s="87" t="s">
        <v>19</v>
      </c>
      <c r="D5" s="88" t="s">
        <v>1</v>
      </c>
    </row>
    <row r="6" spans="1:5" ht="25" customHeight="1" x14ac:dyDescent="0.3">
      <c r="A6" s="84" t="str">
        <f t="shared" si="0"/>
        <v>yes_Postural Hypotension</v>
      </c>
      <c r="B6" s="85" t="s">
        <v>209</v>
      </c>
      <c r="C6" s="85" t="s">
        <v>147</v>
      </c>
      <c r="D6" s="86" t="s">
        <v>60</v>
      </c>
    </row>
    <row r="7" spans="1:5" ht="25" customHeight="1" x14ac:dyDescent="0.3">
      <c r="A7" s="84" t="str">
        <f t="shared" si="0"/>
        <v>No_Postural Hypotension</v>
      </c>
      <c r="B7" s="87" t="s">
        <v>10</v>
      </c>
      <c r="C7" s="87" t="s">
        <v>148</v>
      </c>
      <c r="D7" s="86" t="s">
        <v>60</v>
      </c>
    </row>
    <row r="8" spans="1:5" ht="25" customHeight="1" x14ac:dyDescent="0.3">
      <c r="A8" s="84" t="str">
        <f t="shared" si="0"/>
        <v>Yes_Device/Technique</v>
      </c>
      <c r="B8" s="85" t="s">
        <v>6</v>
      </c>
      <c r="C8" s="85" t="s">
        <v>149</v>
      </c>
      <c r="D8" s="85" t="s">
        <v>63</v>
      </c>
    </row>
    <row r="9" spans="1:5" ht="25" customHeight="1" x14ac:dyDescent="0.3">
      <c r="A9" s="84" t="str">
        <f t="shared" si="0"/>
        <v>no_Device/Technique</v>
      </c>
      <c r="B9" s="87" t="s">
        <v>210</v>
      </c>
      <c r="C9" s="87" t="s">
        <v>150</v>
      </c>
      <c r="D9" s="87" t="s">
        <v>63</v>
      </c>
    </row>
    <row r="10" spans="1:5" ht="25" customHeight="1" x14ac:dyDescent="0.3">
      <c r="A10" s="89" t="str">
        <f t="shared" si="0"/>
        <v>yes_ABPM/HBPM Confirmation</v>
      </c>
      <c r="B10" s="90" t="s">
        <v>209</v>
      </c>
      <c r="C10" s="90" t="s">
        <v>21</v>
      </c>
      <c r="D10" s="90" t="s">
        <v>66</v>
      </c>
    </row>
    <row r="11" spans="1:5" ht="25" customHeight="1" x14ac:dyDescent="0.3">
      <c r="A11" s="89" t="str">
        <f t="shared" si="0"/>
        <v>No_ABPM/HBPM Confirmation</v>
      </c>
      <c r="B11" s="91" t="s">
        <v>10</v>
      </c>
      <c r="C11" s="91" t="s">
        <v>20</v>
      </c>
      <c r="D11" s="91" t="s">
        <v>66</v>
      </c>
    </row>
    <row r="12" spans="1:5" ht="25" customHeight="1" x14ac:dyDescent="0.3">
      <c r="A12" s="89" t="str">
        <f t="shared" si="0"/>
        <v>≥135/85_ABPM/HBPM Result</v>
      </c>
      <c r="B12" s="90" t="s">
        <v>11</v>
      </c>
      <c r="C12" s="90" t="s">
        <v>24</v>
      </c>
      <c r="D12" s="90" t="s">
        <v>128</v>
      </c>
    </row>
    <row r="13" spans="1:5" ht="25" customHeight="1" x14ac:dyDescent="0.3">
      <c r="A13" s="89" t="str">
        <f t="shared" si="0"/>
        <v>&lt;135/85_ABPM/HBPM Result</v>
      </c>
      <c r="B13" s="91" t="s">
        <v>7</v>
      </c>
      <c r="C13" s="91" t="s">
        <v>25</v>
      </c>
      <c r="D13" s="91" t="s">
        <v>128</v>
      </c>
    </row>
    <row r="14" spans="1:5" ht="25" customHeight="1" x14ac:dyDescent="0.3">
      <c r="A14" s="92" t="str">
        <f t="shared" si="0"/>
        <v>Yes_Diabetes</v>
      </c>
      <c r="B14" s="93" t="s">
        <v>6</v>
      </c>
      <c r="C14" s="93" t="s">
        <v>151</v>
      </c>
      <c r="D14" s="93" t="s">
        <v>2</v>
      </c>
    </row>
    <row r="15" spans="1:5" ht="25" customHeight="1" x14ac:dyDescent="0.3">
      <c r="A15" s="92" t="str">
        <f t="shared" si="0"/>
        <v>No_Diabetes</v>
      </c>
      <c r="B15" s="94" t="s">
        <v>10</v>
      </c>
      <c r="C15" s="94" t="s">
        <v>152</v>
      </c>
      <c r="D15" s="94" t="s">
        <v>2</v>
      </c>
    </row>
    <row r="16" spans="1:5" ht="25" customHeight="1" x14ac:dyDescent="0.3">
      <c r="A16" s="92" t="str">
        <f t="shared" si="0"/>
        <v>Yes_CKD</v>
      </c>
      <c r="B16" s="93" t="s">
        <v>6</v>
      </c>
      <c r="C16" s="93" t="s">
        <v>226</v>
      </c>
      <c r="D16" s="93" t="s">
        <v>3</v>
      </c>
    </row>
    <row r="17" spans="1:4" ht="25" customHeight="1" x14ac:dyDescent="0.3">
      <c r="A17" s="92" t="str">
        <f t="shared" si="0"/>
        <v>No_CKD</v>
      </c>
      <c r="B17" s="94" t="s">
        <v>10</v>
      </c>
      <c r="C17" s="94" t="s">
        <v>227</v>
      </c>
      <c r="D17" s="94" t="s">
        <v>3</v>
      </c>
    </row>
    <row r="18" spans="1:4" ht="25" customHeight="1" x14ac:dyDescent="0.3">
      <c r="A18" s="92" t="str">
        <f t="shared" si="0"/>
        <v>Yes_Target Organ Damage</v>
      </c>
      <c r="B18" s="93" t="s">
        <v>6</v>
      </c>
      <c r="C18" s="93" t="s">
        <v>228</v>
      </c>
      <c r="D18" s="93" t="s">
        <v>78</v>
      </c>
    </row>
    <row r="19" spans="1:4" ht="25" customHeight="1" x14ac:dyDescent="0.3">
      <c r="A19" s="92" t="str">
        <f t="shared" si="0"/>
        <v>No_Target Organ Damage</v>
      </c>
      <c r="B19" s="94" t="s">
        <v>10</v>
      </c>
      <c r="C19" s="94" t="s">
        <v>229</v>
      </c>
      <c r="D19" s="94" t="s">
        <v>78</v>
      </c>
    </row>
    <row r="20" spans="1:4" ht="25" customHeight="1" x14ac:dyDescent="0.3">
      <c r="A20" s="92" t="str">
        <f t="shared" si="0"/>
        <v>&lt;10%_Cardiovascular Risk</v>
      </c>
      <c r="B20" s="93" t="s">
        <v>129</v>
      </c>
      <c r="C20" s="93" t="s">
        <v>23</v>
      </c>
      <c r="D20" s="93" t="s">
        <v>73</v>
      </c>
    </row>
    <row r="21" spans="1:4" ht="25" customHeight="1" x14ac:dyDescent="0.3">
      <c r="A21" s="92" t="str">
        <f t="shared" si="0"/>
        <v>≥10%_Cardiovascular Risk</v>
      </c>
      <c r="B21" s="94" t="s">
        <v>130</v>
      </c>
      <c r="C21" s="94" t="s">
        <v>26</v>
      </c>
      <c r="D21" s="94" t="s">
        <v>73</v>
      </c>
    </row>
    <row r="22" spans="1:4" ht="25" customHeight="1" x14ac:dyDescent="0.3">
      <c r="A22" s="95" t="str">
        <f t="shared" si="0"/>
        <v>&lt;55_Age Group</v>
      </c>
      <c r="B22" s="96" t="s">
        <v>8</v>
      </c>
      <c r="C22" s="96" t="s">
        <v>230</v>
      </c>
      <c r="D22" s="96" t="s">
        <v>22</v>
      </c>
    </row>
    <row r="23" spans="1:4" ht="25" customHeight="1" x14ac:dyDescent="0.3">
      <c r="A23" s="95" t="str">
        <f t="shared" si="0"/>
        <v>≥55_Age Group</v>
      </c>
      <c r="B23" s="97" t="s">
        <v>131</v>
      </c>
      <c r="C23" s="97" t="s">
        <v>231</v>
      </c>
      <c r="D23" s="97" t="s">
        <v>22</v>
      </c>
    </row>
    <row r="24" spans="1:4" ht="25" customHeight="1" x14ac:dyDescent="0.3">
      <c r="A24" s="95" t="str">
        <f t="shared" si="0"/>
        <v>Black ethnicity_Age Group</v>
      </c>
      <c r="B24" s="96" t="s">
        <v>132</v>
      </c>
      <c r="C24" s="96" t="s">
        <v>232</v>
      </c>
      <c r="D24" s="96" t="s">
        <v>22</v>
      </c>
    </row>
    <row r="25" spans="1:4" ht="25" customHeight="1" x14ac:dyDescent="0.3">
      <c r="A25" s="95" t="str">
        <f t="shared" si="0"/>
        <v>Any age with diabetes_Age Group</v>
      </c>
      <c r="B25" s="97" t="s">
        <v>133</v>
      </c>
      <c r="C25" s="97" t="s">
        <v>233</v>
      </c>
      <c r="D25" s="97" t="s">
        <v>22</v>
      </c>
    </row>
    <row r="26" spans="1:4" ht="25" customHeight="1" x14ac:dyDescent="0.3">
      <c r="A26" s="95" t="str">
        <f t="shared" si="0"/>
        <v>Yes_Frailty</v>
      </c>
      <c r="B26" s="96" t="s">
        <v>6</v>
      </c>
      <c r="C26" s="96" t="s">
        <v>234</v>
      </c>
      <c r="D26" s="96" t="s">
        <v>4</v>
      </c>
    </row>
    <row r="27" spans="1:4" ht="25" customHeight="1" x14ac:dyDescent="0.3">
      <c r="A27" s="95" t="str">
        <f t="shared" si="0"/>
        <v>No_Frailty</v>
      </c>
      <c r="B27" s="97" t="s">
        <v>10</v>
      </c>
      <c r="C27" s="97" t="s">
        <v>235</v>
      </c>
      <c r="D27" s="97" t="s">
        <v>4</v>
      </c>
    </row>
    <row r="28" spans="1:4" ht="25" customHeight="1" x14ac:dyDescent="0.3">
      <c r="A28" s="95" t="str">
        <f t="shared" si="0"/>
        <v>Lifestyle only_Current Treatment</v>
      </c>
      <c r="B28" s="96" t="s">
        <v>135</v>
      </c>
      <c r="C28" s="96" t="s">
        <v>27</v>
      </c>
      <c r="D28" s="96" t="s">
        <v>134</v>
      </c>
    </row>
    <row r="29" spans="1:4" ht="25" customHeight="1" x14ac:dyDescent="0.3">
      <c r="A29" s="95" t="str">
        <f t="shared" si="0"/>
        <v>Monotherapy_Current Treatment</v>
      </c>
      <c r="B29" s="97" t="s">
        <v>28</v>
      </c>
      <c r="C29" s="97" t="s">
        <v>29</v>
      </c>
      <c r="D29" s="97" t="s">
        <v>134</v>
      </c>
    </row>
    <row r="30" spans="1:4" ht="25" customHeight="1" x14ac:dyDescent="0.3">
      <c r="A30" s="95" t="str">
        <f t="shared" si="0"/>
        <v>Dual/Triple therapy_Current Treatment</v>
      </c>
      <c r="B30" s="96" t="s">
        <v>136</v>
      </c>
      <c r="C30" s="96" t="s">
        <v>30</v>
      </c>
      <c r="D30" s="96" t="s">
        <v>134</v>
      </c>
    </row>
    <row r="31" spans="1:4" ht="25" customHeight="1" x14ac:dyDescent="0.3">
      <c r="A31" s="95" t="str">
        <f t="shared" si="0"/>
        <v>Resistant HTN_Current Treatment</v>
      </c>
      <c r="B31" s="97" t="s">
        <v>137</v>
      </c>
      <c r="C31" s="97" t="s">
        <v>31</v>
      </c>
      <c r="D31" s="97" t="s">
        <v>134</v>
      </c>
    </row>
    <row r="32" spans="1:4" ht="25" customHeight="1" x14ac:dyDescent="0.3">
      <c r="A32" s="95" t="str">
        <f t="shared" si="0"/>
        <v>&lt;140/90 (&lt;80 yrs)_BP Controlled</v>
      </c>
      <c r="B32" s="96" t="s">
        <v>139</v>
      </c>
      <c r="C32" s="96" t="s">
        <v>153</v>
      </c>
      <c r="D32" s="96" t="s">
        <v>138</v>
      </c>
    </row>
    <row r="33" spans="1:11" ht="25" customHeight="1" x14ac:dyDescent="0.3">
      <c r="A33" s="95" t="str">
        <f t="shared" si="0"/>
        <v>&lt;150/90 (≥80 yrs)_BP Controlled</v>
      </c>
      <c r="B33" s="97" t="s">
        <v>140</v>
      </c>
      <c r="C33" s="97" t="s">
        <v>154</v>
      </c>
      <c r="D33" s="97" t="s">
        <v>138</v>
      </c>
      <c r="K33" s="3"/>
    </row>
    <row r="34" spans="1:11" ht="25" customHeight="1" x14ac:dyDescent="0.3">
      <c r="A34" s="95" t="str">
        <f t="shared" si="0"/>
        <v>No_BP Controlled</v>
      </c>
      <c r="B34" s="96" t="s">
        <v>10</v>
      </c>
      <c r="C34" s="96" t="s">
        <v>236</v>
      </c>
      <c r="D34" s="96" t="s">
        <v>138</v>
      </c>
    </row>
    <row r="35" spans="1:11" ht="25" customHeight="1" x14ac:dyDescent="0.3">
      <c r="A35" s="95" t="str">
        <f t="shared" si="0"/>
        <v>≤4.5_Potassium Level</v>
      </c>
      <c r="B35" s="97" t="s">
        <v>141</v>
      </c>
      <c r="C35" s="97" t="s">
        <v>32</v>
      </c>
      <c r="D35" s="97" t="s">
        <v>95</v>
      </c>
    </row>
    <row r="36" spans="1:11" ht="25" customHeight="1" x14ac:dyDescent="0.3">
      <c r="A36" s="95" t="str">
        <f t="shared" si="0"/>
        <v>&gt;4.5_Potassium Level</v>
      </c>
      <c r="B36" s="96" t="s">
        <v>142</v>
      </c>
      <c r="C36" s="96" t="s">
        <v>33</v>
      </c>
      <c r="D36" s="96" t="s">
        <v>95</v>
      </c>
    </row>
    <row r="37" spans="1:11" ht="25" customHeight="1" x14ac:dyDescent="0.3">
      <c r="A37" s="98" t="str">
        <f t="shared" si="0"/>
        <v>No referral_Referral Criteria</v>
      </c>
      <c r="B37" s="99" t="s">
        <v>36</v>
      </c>
      <c r="C37" s="99" t="s">
        <v>35</v>
      </c>
      <c r="D37" s="99" t="s">
        <v>34</v>
      </c>
    </row>
    <row r="38" spans="1:11" ht="25" customHeight="1" x14ac:dyDescent="0.3">
      <c r="A38" s="98" t="str">
        <f t="shared" si="0"/>
        <v>Emergency referral_Referral Criteria</v>
      </c>
      <c r="B38" s="100" t="s">
        <v>39</v>
      </c>
      <c r="C38" s="100" t="s">
        <v>38</v>
      </c>
      <c r="D38" s="100" t="s">
        <v>34</v>
      </c>
    </row>
    <row r="39" spans="1:11" ht="25" customHeight="1" x14ac:dyDescent="0.3">
      <c r="A39" s="98" t="str">
        <f t="shared" si="0"/>
        <v>Suspected secondary HTN_Referral Criteria</v>
      </c>
      <c r="B39" s="99" t="s">
        <v>155</v>
      </c>
      <c r="C39" s="99" t="s">
        <v>156</v>
      </c>
      <c r="D39" s="99" t="s">
        <v>34</v>
      </c>
    </row>
  </sheetData>
  <mergeCells count="1">
    <mergeCell ref="A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B666D-25B5-44C1-B397-35F4575492DF}">
  <dimension ref="L1:AA23"/>
  <sheetViews>
    <sheetView rightToLeft="1" topLeftCell="B5" workbookViewId="0">
      <selection activeCell="S30" sqref="S30"/>
    </sheetView>
  </sheetViews>
  <sheetFormatPr defaultRowHeight="14" x14ac:dyDescent="0.3"/>
  <cols>
    <col min="16" max="21" width="8.6640625" customWidth="1"/>
    <col min="23" max="26" width="8.6640625" customWidth="1"/>
    <col min="27" max="27" width="12" customWidth="1"/>
  </cols>
  <sheetData>
    <row r="1" spans="12:27" x14ac:dyDescent="0.3">
      <c r="X1" s="2" t="s">
        <v>124</v>
      </c>
    </row>
    <row r="2" spans="12:27" ht="32" customHeight="1" x14ac:dyDescent="0.3">
      <c r="M2" s="63"/>
      <c r="N2" s="63"/>
      <c r="O2" s="63"/>
      <c r="P2" s="79" t="s">
        <v>247</v>
      </c>
      <c r="Q2" s="79"/>
      <c r="R2" s="1"/>
      <c r="S2" s="103" t="s">
        <v>239</v>
      </c>
      <c r="T2" s="103"/>
      <c r="U2" s="103"/>
      <c r="V2" s="103"/>
      <c r="W2" s="103"/>
      <c r="X2" s="103"/>
      <c r="Y2" s="103"/>
      <c r="Z2" s="103"/>
      <c r="AA2" s="103"/>
    </row>
    <row r="3" spans="12:27" ht="16.5" customHeight="1" x14ac:dyDescent="0.3">
      <c r="M3" s="63"/>
      <c r="N3" s="63"/>
      <c r="O3" s="63"/>
      <c r="P3" s="63"/>
      <c r="Q3" s="64" t="s">
        <v>40</v>
      </c>
      <c r="R3" s="1"/>
      <c r="S3" s="103"/>
      <c r="T3" s="103"/>
      <c r="U3" s="103"/>
      <c r="V3" s="103"/>
      <c r="W3" s="103"/>
      <c r="X3" s="103"/>
      <c r="Y3" s="103"/>
      <c r="Z3" s="103"/>
      <c r="AA3" s="103"/>
    </row>
    <row r="4" spans="12:27" ht="16.5" x14ac:dyDescent="0.3">
      <c r="M4" s="63"/>
      <c r="N4" s="63"/>
      <c r="O4" s="63"/>
      <c r="P4" s="63"/>
      <c r="Q4" s="64" t="s">
        <v>41</v>
      </c>
      <c r="R4" s="1"/>
      <c r="S4" s="65"/>
      <c r="T4" s="65"/>
      <c r="U4" s="65"/>
      <c r="V4" s="65"/>
      <c r="W4" s="65"/>
      <c r="X4" s="66"/>
      <c r="Y4" s="65"/>
      <c r="Z4" s="65"/>
      <c r="AA4" s="65"/>
    </row>
    <row r="5" spans="12:27" ht="16.5" x14ac:dyDescent="0.3">
      <c r="M5" s="63"/>
      <c r="N5" s="63"/>
      <c r="O5" s="63"/>
      <c r="P5" s="63"/>
      <c r="Q5" s="64" t="s">
        <v>42</v>
      </c>
      <c r="S5" s="59"/>
      <c r="T5" s="59"/>
      <c r="U5" s="59"/>
      <c r="V5" s="59"/>
      <c r="W5" s="59"/>
      <c r="X5" s="69"/>
      <c r="Y5" s="59"/>
      <c r="Z5" s="59"/>
      <c r="AA5" s="59"/>
    </row>
    <row r="6" spans="12:27" ht="18" x14ac:dyDescent="0.3">
      <c r="M6" s="63"/>
      <c r="N6" s="63"/>
      <c r="O6" s="63"/>
      <c r="P6" s="63"/>
      <c r="Q6" s="64" t="s">
        <v>43</v>
      </c>
      <c r="S6" s="59"/>
      <c r="T6" s="59"/>
      <c r="U6" s="59"/>
      <c r="V6" s="59"/>
      <c r="W6" s="59"/>
      <c r="X6" s="59"/>
      <c r="Y6" s="105" t="s">
        <v>248</v>
      </c>
      <c r="Z6" s="105"/>
      <c r="AA6" s="105"/>
    </row>
    <row r="7" spans="12:27" ht="14" customHeight="1" x14ac:dyDescent="0.3">
      <c r="M7" s="63"/>
      <c r="N7" s="63"/>
      <c r="O7" s="63"/>
      <c r="P7" s="63"/>
      <c r="Q7" s="64" t="s">
        <v>44</v>
      </c>
      <c r="S7" s="59"/>
      <c r="T7" s="59"/>
      <c r="U7" s="59"/>
      <c r="V7" s="59"/>
      <c r="W7" s="59"/>
      <c r="X7" s="59"/>
      <c r="Y7" s="59"/>
      <c r="Z7" s="59"/>
      <c r="AA7" s="70"/>
    </row>
    <row r="8" spans="12:27" ht="14" customHeight="1" x14ac:dyDescent="0.35">
      <c r="M8" s="63"/>
      <c r="N8" s="63"/>
      <c r="O8" s="63"/>
      <c r="P8" s="63"/>
      <c r="Q8" s="64" t="s">
        <v>45</v>
      </c>
      <c r="S8" s="59"/>
      <c r="T8" s="59"/>
      <c r="U8" s="59"/>
      <c r="V8" s="71"/>
      <c r="W8" s="72"/>
      <c r="X8" s="72"/>
      <c r="Y8" s="72"/>
      <c r="Z8" s="72"/>
      <c r="AA8" s="73" t="s">
        <v>240</v>
      </c>
    </row>
    <row r="9" spans="12:27" ht="15.5" customHeight="1" x14ac:dyDescent="0.35">
      <c r="M9" s="63"/>
      <c r="N9" s="63"/>
      <c r="O9" s="63"/>
      <c r="P9" s="63"/>
      <c r="Q9" s="64" t="s">
        <v>46</v>
      </c>
      <c r="S9" s="59"/>
      <c r="T9" s="59"/>
      <c r="U9" s="59"/>
      <c r="V9" s="71"/>
      <c r="W9" s="71"/>
      <c r="X9" s="71"/>
      <c r="Y9" s="71"/>
      <c r="Z9" s="71"/>
      <c r="AA9" s="74" t="s">
        <v>243</v>
      </c>
    </row>
    <row r="10" spans="12:27" ht="15.5" customHeight="1" x14ac:dyDescent="0.35">
      <c r="L10" s="61"/>
      <c r="M10" s="63"/>
      <c r="N10" s="63"/>
      <c r="O10" s="63"/>
      <c r="P10" s="63"/>
      <c r="Q10" s="64" t="s">
        <v>47</v>
      </c>
      <c r="S10" s="59"/>
      <c r="T10" s="59"/>
      <c r="U10" s="59"/>
      <c r="V10" s="71"/>
      <c r="W10" s="71"/>
      <c r="X10" s="71"/>
      <c r="Y10" s="71"/>
      <c r="Z10" s="71"/>
      <c r="AA10" s="74"/>
    </row>
    <row r="11" spans="12:27" ht="15.5" customHeight="1" x14ac:dyDescent="0.35">
      <c r="L11" s="61"/>
      <c r="M11" s="63"/>
      <c r="N11" s="63"/>
      <c r="O11" s="63"/>
      <c r="P11" s="63"/>
      <c r="Q11" s="64" t="s">
        <v>48</v>
      </c>
      <c r="S11" s="59"/>
      <c r="T11" s="59"/>
      <c r="U11" s="59"/>
      <c r="V11" s="71"/>
      <c r="W11" s="71"/>
      <c r="X11" s="72"/>
      <c r="Y11" s="72"/>
      <c r="Z11" s="72"/>
      <c r="AA11" s="73" t="s">
        <v>241</v>
      </c>
    </row>
    <row r="12" spans="12:27" ht="15.5" customHeight="1" x14ac:dyDescent="0.35">
      <c r="L12" s="61"/>
      <c r="M12" s="63"/>
      <c r="N12" s="63"/>
      <c r="O12" s="63"/>
      <c r="P12" s="63"/>
      <c r="Q12" s="64" t="s">
        <v>49</v>
      </c>
      <c r="S12" s="59"/>
      <c r="T12" s="59"/>
      <c r="U12" s="59"/>
      <c r="V12" s="71"/>
      <c r="W12" s="71"/>
      <c r="X12" s="71"/>
      <c r="Y12" s="71"/>
      <c r="Z12" s="71"/>
      <c r="AA12" s="74" t="s">
        <v>244</v>
      </c>
    </row>
    <row r="13" spans="12:27" ht="15.5" customHeight="1" x14ac:dyDescent="0.35">
      <c r="L13" s="61"/>
      <c r="M13" s="68"/>
      <c r="N13" s="68"/>
      <c r="O13" s="68"/>
      <c r="P13" s="63"/>
      <c r="Q13" s="63"/>
      <c r="S13" s="59"/>
      <c r="T13" s="59"/>
      <c r="U13" s="59"/>
      <c r="V13" s="71"/>
      <c r="W13" s="71"/>
      <c r="X13" s="71"/>
      <c r="Y13" s="71"/>
      <c r="Z13" s="71"/>
      <c r="AA13" s="74"/>
    </row>
    <row r="14" spans="12:27" ht="15.5" customHeight="1" x14ac:dyDescent="0.35">
      <c r="L14" s="61"/>
      <c r="S14" s="59"/>
      <c r="T14" s="59"/>
      <c r="U14" s="59"/>
      <c r="V14" s="72"/>
      <c r="W14" s="72"/>
      <c r="X14" s="72"/>
      <c r="Y14" s="72"/>
      <c r="Z14" s="72"/>
      <c r="AA14" s="73" t="s">
        <v>242</v>
      </c>
    </row>
    <row r="15" spans="12:27" ht="16.5" customHeight="1" x14ac:dyDescent="0.35">
      <c r="L15" s="61"/>
      <c r="M15" s="61"/>
      <c r="N15" s="62"/>
      <c r="O15" s="62"/>
      <c r="S15" s="59"/>
      <c r="T15" s="59"/>
      <c r="U15" s="59"/>
      <c r="V15" s="71"/>
      <c r="W15" s="71"/>
      <c r="X15" s="71"/>
      <c r="Y15" s="71"/>
      <c r="Z15" s="71"/>
      <c r="AA15" s="71"/>
    </row>
    <row r="16" spans="12:27" ht="16.5" customHeight="1" x14ac:dyDescent="0.4">
      <c r="L16" s="61"/>
      <c r="M16" s="61"/>
      <c r="N16" s="61"/>
      <c r="O16" s="61"/>
      <c r="S16" s="59"/>
      <c r="T16" s="59"/>
      <c r="U16" s="59"/>
      <c r="V16" s="59"/>
      <c r="W16" s="59"/>
      <c r="X16" s="59"/>
      <c r="Y16" s="59"/>
      <c r="Z16" s="104" t="s">
        <v>249</v>
      </c>
      <c r="AA16" s="104"/>
    </row>
    <row r="17" spans="12:27" ht="15.5" x14ac:dyDescent="0.35">
      <c r="L17" s="61"/>
      <c r="S17" s="75"/>
      <c r="T17" s="75"/>
      <c r="U17" s="75"/>
      <c r="V17" s="76"/>
      <c r="W17" s="76"/>
      <c r="X17" s="76"/>
      <c r="Y17" s="76"/>
      <c r="Z17" s="75"/>
      <c r="AA17" s="75"/>
    </row>
    <row r="18" spans="12:27" ht="15.5" x14ac:dyDescent="0.35">
      <c r="L18" s="61"/>
      <c r="M18" s="61"/>
      <c r="N18" s="61"/>
      <c r="O18" s="61"/>
      <c r="S18" s="75"/>
      <c r="T18" s="75"/>
      <c r="U18" s="75"/>
      <c r="V18" s="75"/>
      <c r="W18" s="75"/>
      <c r="X18" s="77"/>
      <c r="Y18" s="77" t="s">
        <v>245</v>
      </c>
      <c r="Z18" s="75"/>
      <c r="AA18" s="57"/>
    </row>
    <row r="19" spans="12:27" ht="15.5" customHeight="1" x14ac:dyDescent="0.35">
      <c r="S19" s="75"/>
      <c r="T19" s="75"/>
      <c r="U19" s="77"/>
      <c r="V19" s="77"/>
      <c r="W19" s="77"/>
      <c r="X19" s="77"/>
      <c r="Y19" s="77"/>
      <c r="Z19" s="76"/>
      <c r="AA19" s="76"/>
    </row>
    <row r="20" spans="12:27" x14ac:dyDescent="0.3">
      <c r="S20" s="75"/>
      <c r="T20" s="75"/>
      <c r="U20" s="75"/>
      <c r="V20" s="75"/>
      <c r="W20" s="75"/>
      <c r="X20" s="77"/>
      <c r="Y20" s="77" t="s">
        <v>246</v>
      </c>
      <c r="Z20" s="75"/>
      <c r="AA20" s="58"/>
    </row>
    <row r="21" spans="12:27" x14ac:dyDescent="0.3">
      <c r="S21" s="75"/>
      <c r="T21" s="75"/>
      <c r="U21" s="77"/>
      <c r="V21" s="77"/>
      <c r="W21" s="77"/>
      <c r="X21" s="77"/>
      <c r="Y21" s="77"/>
      <c r="Z21" s="75"/>
      <c r="AA21" s="75"/>
    </row>
    <row r="22" spans="12:27" x14ac:dyDescent="0.3">
      <c r="S22" s="75"/>
      <c r="T22" s="75"/>
      <c r="U22" s="75"/>
      <c r="V22" s="75"/>
      <c r="W22" s="75"/>
      <c r="X22" s="75"/>
      <c r="Y22" s="77" t="s">
        <v>251</v>
      </c>
      <c r="Z22" s="75"/>
      <c r="AA22" s="78"/>
    </row>
    <row r="23" spans="12:27" x14ac:dyDescent="0.3">
      <c r="S23" s="75"/>
      <c r="T23" s="75"/>
      <c r="U23" s="75"/>
      <c r="V23" s="75"/>
      <c r="W23" s="75"/>
      <c r="X23" s="75"/>
      <c r="Y23" s="75"/>
    </row>
  </sheetData>
  <mergeCells count="3">
    <mergeCell ref="S2:AA3"/>
    <mergeCell ref="Z16:AA16"/>
    <mergeCell ref="Y6:AA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5</vt:i4>
      </vt:variant>
    </vt:vector>
  </HeadingPairs>
  <TitlesOfParts>
    <vt:vector size="9" baseType="lpstr">
      <vt:lpstr>NICE_Hypertension_DSS_Quest </vt:lpstr>
      <vt:lpstr>CDSS_Step_Table</vt:lpstr>
      <vt:lpstr>Mapping_Table</vt:lpstr>
      <vt:lpstr>User Guide – NICE Hypertension </vt:lpstr>
      <vt:lpstr>CDSS_Step_Table</vt:lpstr>
      <vt:lpstr>CDSSTable</vt:lpstr>
      <vt:lpstr>Mapping_Table</vt:lpstr>
      <vt:lpstr>MappingTable</vt:lpstr>
      <vt:lpstr>'NICE_Hypertension_DSS_Quest '!NICE_Hypertension_DSS_Question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Shumaf</dc:creator>
  <cp:lastModifiedBy>Noah Shumaf</cp:lastModifiedBy>
  <dcterms:created xsi:type="dcterms:W3CDTF">2025-06-11T11:50:41Z</dcterms:created>
  <dcterms:modified xsi:type="dcterms:W3CDTF">2026-06-14T17:45:40Z</dcterms:modified>
</cp:coreProperties>
</file>